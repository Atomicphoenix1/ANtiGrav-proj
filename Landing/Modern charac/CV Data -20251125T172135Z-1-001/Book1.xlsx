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if_\Desktop\downs\Modern charac\"/>
    </mc:Choice>
  </mc:AlternateContent>
  <bookViews>
    <workbookView xWindow="0" yWindow="0" windowWidth="17256" windowHeight="77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" i="1" l="1"/>
  <c r="N31" i="1"/>
  <c r="N30" i="1"/>
  <c r="N29" i="1"/>
  <c r="N28" i="1"/>
  <c r="M32" i="1"/>
  <c r="M31" i="1"/>
  <c r="M30" i="1"/>
  <c r="M29" i="1"/>
  <c r="M28" i="1"/>
</calcChain>
</file>

<file path=xl/sharedStrings.xml><?xml version="1.0" encoding="utf-8"?>
<sst xmlns="http://schemas.openxmlformats.org/spreadsheetml/2006/main" count="20" uniqueCount="8">
  <si>
    <t>CV i vs E</t>
  </si>
  <si>
    <t>V</t>
  </si>
  <si>
    <t>µA</t>
  </si>
  <si>
    <t>ml</t>
  </si>
  <si>
    <t>0.14949V</t>
  </si>
  <si>
    <t>i</t>
  </si>
  <si>
    <t>conc</t>
  </si>
  <si>
    <t>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</si>
</sst>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</c:v>
          </c:tx>
          <c:xVal>
            <c:numRef>
              <c:f>Sheet1!$A$3:$A$71</c:f>
              <c:numCache>
                <c:formatCode>General</c:formatCode>
                <c:ptCount val="69"/>
                <c:pt idx="0">
                  <c:v>-0.70004177093505859</c:v>
                </c:pt>
                <c:pt idx="1">
                  <c:v>-0.65004158020019531</c:v>
                </c:pt>
                <c:pt idx="2">
                  <c:v>-0.60011959075927734</c:v>
                </c:pt>
                <c:pt idx="3">
                  <c:v>-0.55011940002441406</c:v>
                </c:pt>
                <c:pt idx="4">
                  <c:v>-0.50011920928955078</c:v>
                </c:pt>
                <c:pt idx="5">
                  <c:v>-0.45019721984863281</c:v>
                </c:pt>
                <c:pt idx="6">
                  <c:v>-0.40019702911376953</c:v>
                </c:pt>
                <c:pt idx="7">
                  <c:v>-0.35019683837890625</c:v>
                </c:pt>
                <c:pt idx="8">
                  <c:v>-0.30027484893798828</c:v>
                </c:pt>
                <c:pt idx="9">
                  <c:v>-0.250274658203125</c:v>
                </c:pt>
                <c:pt idx="10">
                  <c:v>-0.20027446746826172</c:v>
                </c:pt>
                <c:pt idx="11">
                  <c:v>-0.15035247802734375</c:v>
                </c:pt>
                <c:pt idx="12">
                  <c:v>-0.10035228729248047</c:v>
                </c:pt>
                <c:pt idx="13">
                  <c:v>-5.04302978515625E-2</c:v>
                </c:pt>
                <c:pt idx="14">
                  <c:v>-4.3010711669921875E-4</c:v>
                </c:pt>
                <c:pt idx="15">
                  <c:v>4.9570083618164063E-2</c:v>
                </c:pt>
                <c:pt idx="16">
                  <c:v>9.9493026733398438E-2</c:v>
                </c:pt>
                <c:pt idx="17">
                  <c:v>0.149493217468262</c:v>
                </c:pt>
                <c:pt idx="18">
                  <c:v>0.199493408203125</c:v>
                </c:pt>
                <c:pt idx="19">
                  <c:v>0.24941539764404297</c:v>
                </c:pt>
                <c:pt idx="20">
                  <c:v>0.29941558837890625</c:v>
                </c:pt>
                <c:pt idx="21">
                  <c:v>0.34941577911376953</c:v>
                </c:pt>
                <c:pt idx="22">
                  <c:v>0.3993377685546875</c:v>
                </c:pt>
                <c:pt idx="23">
                  <c:v>0.44933795928955078</c:v>
                </c:pt>
                <c:pt idx="24">
                  <c:v>0.49933815002441406</c:v>
                </c:pt>
                <c:pt idx="25">
                  <c:v>0.54926013946533203</c:v>
                </c:pt>
                <c:pt idx="26">
                  <c:v>0.59926033020019531</c:v>
                </c:pt>
                <c:pt idx="27">
                  <c:v>0.64926052093505859</c:v>
                </c:pt>
                <c:pt idx="28">
                  <c:v>0.69918251037597656</c:v>
                </c:pt>
                <c:pt idx="29">
                  <c:v>0.74918270111083984</c:v>
                </c:pt>
                <c:pt idx="30">
                  <c:v>0.79918289184570313</c:v>
                </c:pt>
                <c:pt idx="31">
                  <c:v>0.84910488128662109</c:v>
                </c:pt>
                <c:pt idx="32">
                  <c:v>0.89910507202148438</c:v>
                </c:pt>
                <c:pt idx="33">
                  <c:v>0.94902706146240234</c:v>
                </c:pt>
                <c:pt idx="34">
                  <c:v>0.99902725219726563</c:v>
                </c:pt>
                <c:pt idx="35">
                  <c:v>0.94902706146240234</c:v>
                </c:pt>
                <c:pt idx="36">
                  <c:v>0.89910507202148438</c:v>
                </c:pt>
                <c:pt idx="37">
                  <c:v>0.84910488128662109</c:v>
                </c:pt>
                <c:pt idx="38">
                  <c:v>0.79918289184570313</c:v>
                </c:pt>
                <c:pt idx="39">
                  <c:v>0.74918270111083984</c:v>
                </c:pt>
                <c:pt idx="40">
                  <c:v>0.69918251037597656</c:v>
                </c:pt>
                <c:pt idx="41">
                  <c:v>0.64926052093505859</c:v>
                </c:pt>
                <c:pt idx="42">
                  <c:v>0.59926033020019531</c:v>
                </c:pt>
                <c:pt idx="43">
                  <c:v>0.54926013946533203</c:v>
                </c:pt>
                <c:pt idx="44">
                  <c:v>0.49933815002441406</c:v>
                </c:pt>
                <c:pt idx="45">
                  <c:v>0.44933795928955078</c:v>
                </c:pt>
                <c:pt idx="46">
                  <c:v>0.3993377685546875</c:v>
                </c:pt>
                <c:pt idx="47">
                  <c:v>0.34941577911376953</c:v>
                </c:pt>
                <c:pt idx="48">
                  <c:v>0.29941558837890625</c:v>
                </c:pt>
                <c:pt idx="49">
                  <c:v>0.24941539764404297</c:v>
                </c:pt>
                <c:pt idx="50">
                  <c:v>0.199493408203125</c:v>
                </c:pt>
                <c:pt idx="51">
                  <c:v>0.14949321746826172</c:v>
                </c:pt>
                <c:pt idx="52">
                  <c:v>9.9493026733398438E-2</c:v>
                </c:pt>
                <c:pt idx="53">
                  <c:v>4.9570083618164063E-2</c:v>
                </c:pt>
                <c:pt idx="54">
                  <c:v>-4.3010711669921875E-4</c:v>
                </c:pt>
                <c:pt idx="55">
                  <c:v>-5.04302978515625E-2</c:v>
                </c:pt>
                <c:pt idx="56">
                  <c:v>-0.10035228729248047</c:v>
                </c:pt>
                <c:pt idx="57">
                  <c:v>-0.15035247802734375</c:v>
                </c:pt>
                <c:pt idx="58">
                  <c:v>-0.20027446746826172</c:v>
                </c:pt>
                <c:pt idx="59">
                  <c:v>-0.250274658203125</c:v>
                </c:pt>
                <c:pt idx="60">
                  <c:v>-0.30027484893798828</c:v>
                </c:pt>
                <c:pt idx="61">
                  <c:v>-0.35019683837890625</c:v>
                </c:pt>
                <c:pt idx="62">
                  <c:v>-0.40019702911376953</c:v>
                </c:pt>
                <c:pt idx="63">
                  <c:v>-0.45019721984863281</c:v>
                </c:pt>
                <c:pt idx="64">
                  <c:v>-0.50011920928955078</c:v>
                </c:pt>
                <c:pt idx="65">
                  <c:v>-0.55011940002441406</c:v>
                </c:pt>
                <c:pt idx="66">
                  <c:v>-0.60011959075927734</c:v>
                </c:pt>
                <c:pt idx="67">
                  <c:v>-0.65004158020019531</c:v>
                </c:pt>
              </c:numCache>
            </c:numRef>
          </c:xVal>
          <c:yVal>
            <c:numRef>
              <c:f>Sheet1!$B$3:$B$71</c:f>
              <c:numCache>
                <c:formatCode>General</c:formatCode>
                <c:ptCount val="69"/>
                <c:pt idx="0">
                  <c:v>-96.559524536132813</c:v>
                </c:pt>
                <c:pt idx="1">
                  <c:v>79.393386840820313</c:v>
                </c:pt>
                <c:pt idx="2">
                  <c:v>155.68733215332031</c:v>
                </c:pt>
                <c:pt idx="3">
                  <c:v>202.41737365722656</c:v>
                </c:pt>
                <c:pt idx="4">
                  <c:v>236.27281188964844</c:v>
                </c:pt>
                <c:pt idx="5">
                  <c:v>262.49884033203125</c:v>
                </c:pt>
                <c:pt idx="6">
                  <c:v>283.00286865234375</c:v>
                </c:pt>
                <c:pt idx="7">
                  <c:v>300.64581298828125</c:v>
                </c:pt>
                <c:pt idx="8">
                  <c:v>313.99725341796875</c:v>
                </c:pt>
                <c:pt idx="9">
                  <c:v>324.0108642578125</c:v>
                </c:pt>
                <c:pt idx="10">
                  <c:v>333.07073974609375</c:v>
                </c:pt>
                <c:pt idx="11">
                  <c:v>338.79278564453125</c:v>
                </c:pt>
                <c:pt idx="12">
                  <c:v>341.65380859375</c:v>
                </c:pt>
                <c:pt idx="13">
                  <c:v>340.70013427734375</c:v>
                </c:pt>
                <c:pt idx="14">
                  <c:v>338.31597900390625</c:v>
                </c:pt>
                <c:pt idx="15">
                  <c:v>336.88543701171875</c:v>
                </c:pt>
                <c:pt idx="16">
                  <c:v>345.468505859375</c:v>
                </c:pt>
                <c:pt idx="17">
                  <c:v>378.37030029296875</c:v>
                </c:pt>
                <c:pt idx="18">
                  <c:v>410.318359375</c:v>
                </c:pt>
                <c:pt idx="19">
                  <c:v>417.94775390625</c:v>
                </c:pt>
                <c:pt idx="20">
                  <c:v>427.0076904296875</c:v>
                </c:pt>
                <c:pt idx="21">
                  <c:v>447.51165771484375</c:v>
                </c:pt>
                <c:pt idx="22">
                  <c:v>478.98291015625</c:v>
                </c:pt>
                <c:pt idx="23">
                  <c:v>515.2225341796875</c:v>
                </c:pt>
                <c:pt idx="24">
                  <c:v>550.9853515625</c:v>
                </c:pt>
                <c:pt idx="25">
                  <c:v>586.27130126953125</c:v>
                </c:pt>
                <c:pt idx="26">
                  <c:v>618.2193603515625</c:v>
                </c:pt>
                <c:pt idx="27">
                  <c:v>653.03326416015625</c:v>
                </c:pt>
                <c:pt idx="28">
                  <c:v>688.7960205078125</c:v>
                </c:pt>
                <c:pt idx="29">
                  <c:v>732.188232421875</c:v>
                </c:pt>
                <c:pt idx="30">
                  <c:v>794.65386962890625</c:v>
                </c:pt>
                <c:pt idx="31">
                  <c:v>877.146728515625</c:v>
                </c:pt>
                <c:pt idx="32">
                  <c:v>986.3424072265625</c:v>
                </c:pt>
                <c:pt idx="33">
                  <c:v>1133.68505859375</c:v>
                </c:pt>
                <c:pt idx="34">
                  <c:v>1332.5262451171875</c:v>
                </c:pt>
                <c:pt idx="35">
                  <c:v>586.27130126953125</c:v>
                </c:pt>
                <c:pt idx="36">
                  <c:v>203.37104797363281</c:v>
                </c:pt>
                <c:pt idx="37">
                  <c:v>-6.4373016357421875</c:v>
                </c:pt>
                <c:pt idx="38">
                  <c:v>-131.36863708496094</c:v>
                </c:pt>
                <c:pt idx="39">
                  <c:v>-211.00044250488281</c:v>
                </c:pt>
                <c:pt idx="40">
                  <c:v>-262.02203369140625</c:v>
                </c:pt>
                <c:pt idx="41">
                  <c:v>-298.26165771484375</c:v>
                </c:pt>
                <c:pt idx="42">
                  <c:v>-328.3023681640625</c:v>
                </c:pt>
                <c:pt idx="43">
                  <c:v>-350.7137451171875</c:v>
                </c:pt>
                <c:pt idx="44">
                  <c:v>-365.01885986328125</c:v>
                </c:pt>
                <c:pt idx="45">
                  <c:v>-372.17138671875</c:v>
                </c:pt>
                <c:pt idx="46">
                  <c:v>-371.21771240234375</c:v>
                </c:pt>
                <c:pt idx="47">
                  <c:v>-368.83355712890625</c:v>
                </c:pt>
                <c:pt idx="48">
                  <c:v>-362.6346435546875</c:v>
                </c:pt>
                <c:pt idx="49">
                  <c:v>-359.77362060546875</c:v>
                </c:pt>
                <c:pt idx="50">
                  <c:v>-363.58831787109375</c:v>
                </c:pt>
                <c:pt idx="51">
                  <c:v>-387.43017578125</c:v>
                </c:pt>
                <c:pt idx="52">
                  <c:v>-421.762451171875</c:v>
                </c:pt>
                <c:pt idx="53">
                  <c:v>-425.5771484375</c:v>
                </c:pt>
                <c:pt idx="54">
                  <c:v>-418.90142822265625</c:v>
                </c:pt>
                <c:pt idx="55">
                  <c:v>-417.470947265625</c:v>
                </c:pt>
                <c:pt idx="56">
                  <c:v>-425.100341796875</c:v>
                </c:pt>
                <c:pt idx="57">
                  <c:v>-442.2664794921875</c:v>
                </c:pt>
                <c:pt idx="58">
                  <c:v>-462.29364013671875</c:v>
                </c:pt>
                <c:pt idx="59">
                  <c:v>-485.65863037109375</c:v>
                </c:pt>
                <c:pt idx="60">
                  <c:v>-508.07000732421875</c:v>
                </c:pt>
                <c:pt idx="61">
                  <c:v>-529.52764892578125</c:v>
                </c:pt>
                <c:pt idx="62">
                  <c:v>-546.69378662109375</c:v>
                </c:pt>
                <c:pt idx="63">
                  <c:v>-561.47576904296875</c:v>
                </c:pt>
                <c:pt idx="64">
                  <c:v>-575.7808837890625</c:v>
                </c:pt>
                <c:pt idx="65">
                  <c:v>-590.56280517578125</c:v>
                </c:pt>
                <c:pt idx="66">
                  <c:v>-604.867919921875</c:v>
                </c:pt>
                <c:pt idx="67">
                  <c:v>-620.60357666015625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A0-4909-BE9A-CF5A77C39B91}"/>
            </c:ext>
          </c:extLst>
        </c:ser>
        <c:ser>
          <c:idx val="1"/>
          <c:order val="1"/>
          <c:tx>
            <c:v>CV i vs E</c:v>
          </c:tx>
          <c:xVal>
            <c:numRef>
              <c:f>Sheet1!$C$3:$C$71</c:f>
              <c:numCache>
                <c:formatCode>General</c:formatCode>
                <c:ptCount val="69"/>
                <c:pt idx="0">
                  <c:v>-0.70004177093505859</c:v>
                </c:pt>
                <c:pt idx="1">
                  <c:v>-0.65004158020019531</c:v>
                </c:pt>
                <c:pt idx="2">
                  <c:v>-0.60011959075927734</c:v>
                </c:pt>
                <c:pt idx="3">
                  <c:v>-0.55011940002441406</c:v>
                </c:pt>
                <c:pt idx="4">
                  <c:v>-0.50011920928955078</c:v>
                </c:pt>
                <c:pt idx="5">
                  <c:v>-0.45019721984863281</c:v>
                </c:pt>
                <c:pt idx="6">
                  <c:v>-0.40019702911376953</c:v>
                </c:pt>
                <c:pt idx="7">
                  <c:v>-0.35019683837890625</c:v>
                </c:pt>
                <c:pt idx="8">
                  <c:v>-0.30027484893798828</c:v>
                </c:pt>
                <c:pt idx="9">
                  <c:v>-0.250274658203125</c:v>
                </c:pt>
                <c:pt idx="10">
                  <c:v>-0.20027446746826172</c:v>
                </c:pt>
                <c:pt idx="11">
                  <c:v>-0.15035247802734375</c:v>
                </c:pt>
                <c:pt idx="12">
                  <c:v>-0.10035228729248047</c:v>
                </c:pt>
                <c:pt idx="13">
                  <c:v>-5.04302978515625E-2</c:v>
                </c:pt>
                <c:pt idx="14">
                  <c:v>-4.3010711669921875E-4</c:v>
                </c:pt>
                <c:pt idx="15">
                  <c:v>4.9570083618164063E-2</c:v>
                </c:pt>
                <c:pt idx="16">
                  <c:v>9.9493026733398438E-2</c:v>
                </c:pt>
                <c:pt idx="17">
                  <c:v>0.14949321746826172</c:v>
                </c:pt>
                <c:pt idx="18">
                  <c:v>0.199493408203125</c:v>
                </c:pt>
                <c:pt idx="19">
                  <c:v>0.24941539764404297</c:v>
                </c:pt>
                <c:pt idx="20">
                  <c:v>0.29941558837890625</c:v>
                </c:pt>
                <c:pt idx="21">
                  <c:v>0.34941577911376953</c:v>
                </c:pt>
                <c:pt idx="22">
                  <c:v>0.3993377685546875</c:v>
                </c:pt>
                <c:pt idx="23">
                  <c:v>0.44933795928955078</c:v>
                </c:pt>
                <c:pt idx="24">
                  <c:v>0.49933815002441406</c:v>
                </c:pt>
                <c:pt idx="25">
                  <c:v>0.54926013946533203</c:v>
                </c:pt>
                <c:pt idx="26">
                  <c:v>0.59926033020019531</c:v>
                </c:pt>
                <c:pt idx="27">
                  <c:v>0.64926052093505859</c:v>
                </c:pt>
                <c:pt idx="28">
                  <c:v>0.69918251037597656</c:v>
                </c:pt>
                <c:pt idx="29">
                  <c:v>0.74918270111083984</c:v>
                </c:pt>
                <c:pt idx="30">
                  <c:v>0.79918289184570313</c:v>
                </c:pt>
                <c:pt idx="31">
                  <c:v>0.84910488128662109</c:v>
                </c:pt>
                <c:pt idx="32">
                  <c:v>0.89910507202148438</c:v>
                </c:pt>
                <c:pt idx="33">
                  <c:v>0.94902706146240234</c:v>
                </c:pt>
                <c:pt idx="34">
                  <c:v>0.99902725219726563</c:v>
                </c:pt>
                <c:pt idx="35">
                  <c:v>0.94902706146240234</c:v>
                </c:pt>
                <c:pt idx="36">
                  <c:v>0.89910507202148438</c:v>
                </c:pt>
                <c:pt idx="37">
                  <c:v>0.84910488128662109</c:v>
                </c:pt>
                <c:pt idx="38">
                  <c:v>0.79918289184570313</c:v>
                </c:pt>
                <c:pt idx="39">
                  <c:v>0.74918270111083984</c:v>
                </c:pt>
                <c:pt idx="40">
                  <c:v>0.69918251037597656</c:v>
                </c:pt>
                <c:pt idx="41">
                  <c:v>0.64926052093505859</c:v>
                </c:pt>
                <c:pt idx="42">
                  <c:v>0.59926033020019531</c:v>
                </c:pt>
                <c:pt idx="43">
                  <c:v>0.54926013946533203</c:v>
                </c:pt>
                <c:pt idx="44">
                  <c:v>0.49933815002441406</c:v>
                </c:pt>
                <c:pt idx="45">
                  <c:v>0.44933795928955078</c:v>
                </c:pt>
                <c:pt idx="46">
                  <c:v>0.3993377685546875</c:v>
                </c:pt>
                <c:pt idx="47">
                  <c:v>0.34941577911376953</c:v>
                </c:pt>
                <c:pt idx="48">
                  <c:v>0.29941558837890625</c:v>
                </c:pt>
                <c:pt idx="49">
                  <c:v>0.24941539764404297</c:v>
                </c:pt>
                <c:pt idx="50">
                  <c:v>0.199493408203125</c:v>
                </c:pt>
                <c:pt idx="51">
                  <c:v>0.14949321746826172</c:v>
                </c:pt>
                <c:pt idx="52">
                  <c:v>9.9493026733398438E-2</c:v>
                </c:pt>
                <c:pt idx="53">
                  <c:v>4.9570083618164063E-2</c:v>
                </c:pt>
                <c:pt idx="54">
                  <c:v>-4.3010711669921875E-4</c:v>
                </c:pt>
                <c:pt idx="55">
                  <c:v>-5.04302978515625E-2</c:v>
                </c:pt>
                <c:pt idx="56">
                  <c:v>-0.10035228729248047</c:v>
                </c:pt>
                <c:pt idx="57">
                  <c:v>-0.15035247802734375</c:v>
                </c:pt>
                <c:pt idx="58">
                  <c:v>-0.20027446746826172</c:v>
                </c:pt>
                <c:pt idx="59">
                  <c:v>-0.250274658203125</c:v>
                </c:pt>
                <c:pt idx="60">
                  <c:v>-0.30027484893798828</c:v>
                </c:pt>
                <c:pt idx="61">
                  <c:v>-0.35019683837890625</c:v>
                </c:pt>
                <c:pt idx="62">
                  <c:v>-0.40019702911376953</c:v>
                </c:pt>
                <c:pt idx="63">
                  <c:v>-0.45019721984863281</c:v>
                </c:pt>
                <c:pt idx="64">
                  <c:v>-0.50011920928955078</c:v>
                </c:pt>
                <c:pt idx="65">
                  <c:v>-0.55011940002441406</c:v>
                </c:pt>
                <c:pt idx="66">
                  <c:v>-0.60011959075927734</c:v>
                </c:pt>
                <c:pt idx="67">
                  <c:v>-0.65004158020019531</c:v>
                </c:pt>
              </c:numCache>
            </c:numRef>
          </c:xVal>
          <c:yVal>
            <c:numRef>
              <c:f>Sheet1!$D$3:$D$71</c:f>
              <c:numCache>
                <c:formatCode>General</c:formatCode>
                <c:ptCount val="69"/>
                <c:pt idx="0">
                  <c:v>-146.15058898925781</c:v>
                </c:pt>
                <c:pt idx="1">
                  <c:v>37.908554077148438</c:v>
                </c:pt>
                <c:pt idx="2">
                  <c:v>118.97087097167969</c:v>
                </c:pt>
                <c:pt idx="3">
                  <c:v>169.03877258300781</c:v>
                </c:pt>
                <c:pt idx="4">
                  <c:v>205.27839660644531</c:v>
                </c:pt>
                <c:pt idx="5">
                  <c:v>233.88862609863281</c:v>
                </c:pt>
                <c:pt idx="6">
                  <c:v>256.77679443359375</c:v>
                </c:pt>
                <c:pt idx="7">
                  <c:v>275.85028076171875</c:v>
                </c:pt>
                <c:pt idx="8">
                  <c:v>291.10906982421875</c:v>
                </c:pt>
                <c:pt idx="9">
                  <c:v>303.030029296875</c:v>
                </c:pt>
                <c:pt idx="10">
                  <c:v>313.99725341796875</c:v>
                </c:pt>
                <c:pt idx="11">
                  <c:v>318.288818359375</c:v>
                </c:pt>
                <c:pt idx="12">
                  <c:v>318.288818359375</c:v>
                </c:pt>
                <c:pt idx="13">
                  <c:v>314.950927734375</c:v>
                </c:pt>
                <c:pt idx="14">
                  <c:v>310.18255615234375</c:v>
                </c:pt>
                <c:pt idx="15">
                  <c:v>310.18255615234375</c:v>
                </c:pt>
                <c:pt idx="16">
                  <c:v>328.77923583984375</c:v>
                </c:pt>
                <c:pt idx="17">
                  <c:v>390.29119873046875</c:v>
                </c:pt>
                <c:pt idx="18">
                  <c:v>444.173828125</c:v>
                </c:pt>
                <c:pt idx="19">
                  <c:v>448.94219970703125</c:v>
                </c:pt>
                <c:pt idx="20">
                  <c:v>451.32635498046875</c:v>
                </c:pt>
                <c:pt idx="21">
                  <c:v>464.67779541015625</c:v>
                </c:pt>
                <c:pt idx="22">
                  <c:v>488.5196533203125</c:v>
                </c:pt>
                <c:pt idx="23">
                  <c:v>516.17620849609375</c:v>
                </c:pt>
                <c:pt idx="24">
                  <c:v>548.60113525390625</c:v>
                </c:pt>
                <c:pt idx="25">
                  <c:v>581.979736328125</c:v>
                </c:pt>
                <c:pt idx="26">
                  <c:v>613.45098876953125</c:v>
                </c:pt>
                <c:pt idx="27">
                  <c:v>646.3575439453125</c:v>
                </c:pt>
                <c:pt idx="28">
                  <c:v>679.73614501953125</c:v>
                </c:pt>
                <c:pt idx="29">
                  <c:v>719.79046630859375</c:v>
                </c:pt>
                <c:pt idx="30">
                  <c:v>776.5340576171875</c:v>
                </c:pt>
                <c:pt idx="31">
                  <c:v>851.87432861328125</c:v>
                </c:pt>
                <c:pt idx="32">
                  <c:v>955.3480224609375</c:v>
                </c:pt>
                <c:pt idx="33">
                  <c:v>1101.2601318359375</c:v>
                </c:pt>
                <c:pt idx="34">
                  <c:v>1308.20751953125</c:v>
                </c:pt>
                <c:pt idx="35">
                  <c:v>587.7017822265625</c:v>
                </c:pt>
                <c:pt idx="36">
                  <c:v>215.76881408691406</c:v>
                </c:pt>
                <c:pt idx="37">
                  <c:v>9.7751617431640625</c:v>
                </c:pt>
                <c:pt idx="38">
                  <c:v>-113.24882507324219</c:v>
                </c:pt>
                <c:pt idx="39">
                  <c:v>-192.40379333496094</c:v>
                </c:pt>
                <c:pt idx="40">
                  <c:v>-243.42536926269531</c:v>
                </c:pt>
                <c:pt idx="41">
                  <c:v>-280.141845703125</c:v>
                </c:pt>
                <c:pt idx="42">
                  <c:v>-310.18255615234375</c:v>
                </c:pt>
                <c:pt idx="43">
                  <c:v>-333.07073974609375</c:v>
                </c:pt>
                <c:pt idx="44">
                  <c:v>-348.32952880859375</c:v>
                </c:pt>
                <c:pt idx="45">
                  <c:v>-357.38946533203125</c:v>
                </c:pt>
                <c:pt idx="46">
                  <c:v>-357.86627197265625</c:v>
                </c:pt>
                <c:pt idx="47">
                  <c:v>-356.435791015625</c:v>
                </c:pt>
                <c:pt idx="48">
                  <c:v>-351.66741943359375</c:v>
                </c:pt>
                <c:pt idx="49">
                  <c:v>-348.806396484375</c:v>
                </c:pt>
                <c:pt idx="50">
                  <c:v>-355.48211669921875</c:v>
                </c:pt>
                <c:pt idx="51">
                  <c:v>-390.76806640625</c:v>
                </c:pt>
                <c:pt idx="52">
                  <c:v>-455.617919921875</c:v>
                </c:pt>
                <c:pt idx="53">
                  <c:v>-474.21453857421875</c:v>
                </c:pt>
                <c:pt idx="54">
                  <c:v>-460.86309814453125</c:v>
                </c:pt>
                <c:pt idx="55">
                  <c:v>-452.75689697265625</c:v>
                </c:pt>
                <c:pt idx="56">
                  <c:v>-454.1873779296875</c:v>
                </c:pt>
                <c:pt idx="57">
                  <c:v>-466.10833740234375</c:v>
                </c:pt>
                <c:pt idx="58">
                  <c:v>-484.7049560546875</c:v>
                </c:pt>
                <c:pt idx="59">
                  <c:v>-507.1163330078125</c:v>
                </c:pt>
                <c:pt idx="60">
                  <c:v>-529.05084228515625</c:v>
                </c:pt>
                <c:pt idx="61">
                  <c:v>-550.03167724609375</c:v>
                </c:pt>
                <c:pt idx="62">
                  <c:v>-567.19781494140625</c:v>
                </c:pt>
                <c:pt idx="63">
                  <c:v>-581.5029296875</c:v>
                </c:pt>
                <c:pt idx="64">
                  <c:v>-595.3311767578125</c:v>
                </c:pt>
                <c:pt idx="65">
                  <c:v>-608.205810546875</c:v>
                </c:pt>
                <c:pt idx="66">
                  <c:v>-621.5572509765625</c:v>
                </c:pt>
                <c:pt idx="67">
                  <c:v>-635.86712646484375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A0-4909-BE9A-CF5A77C39B91}"/>
            </c:ext>
          </c:extLst>
        </c:ser>
        <c:ser>
          <c:idx val="2"/>
          <c:order val="2"/>
          <c:tx>
            <c:v>CV i vs E</c:v>
          </c:tx>
          <c:xVal>
            <c:numRef>
              <c:f>Sheet1!$E$3:$E$71</c:f>
              <c:numCache>
                <c:formatCode>General</c:formatCode>
                <c:ptCount val="69"/>
                <c:pt idx="0">
                  <c:v>-0.70004177093505859</c:v>
                </c:pt>
                <c:pt idx="1">
                  <c:v>-0.65004158020019531</c:v>
                </c:pt>
                <c:pt idx="2">
                  <c:v>-0.60011959075927734</c:v>
                </c:pt>
                <c:pt idx="3">
                  <c:v>-0.55011940002441406</c:v>
                </c:pt>
                <c:pt idx="4">
                  <c:v>-0.50011920928955078</c:v>
                </c:pt>
                <c:pt idx="5">
                  <c:v>-0.45019721984863281</c:v>
                </c:pt>
                <c:pt idx="6">
                  <c:v>-0.40019702911376953</c:v>
                </c:pt>
                <c:pt idx="7">
                  <c:v>-0.35019683837890625</c:v>
                </c:pt>
                <c:pt idx="8">
                  <c:v>-0.30027484893798828</c:v>
                </c:pt>
                <c:pt idx="9">
                  <c:v>-0.250274658203125</c:v>
                </c:pt>
                <c:pt idx="10">
                  <c:v>-0.20027446746826172</c:v>
                </c:pt>
                <c:pt idx="11">
                  <c:v>-0.15035247802734375</c:v>
                </c:pt>
                <c:pt idx="12">
                  <c:v>-0.10035228729248047</c:v>
                </c:pt>
                <c:pt idx="13">
                  <c:v>-5.04302978515625E-2</c:v>
                </c:pt>
                <c:pt idx="14">
                  <c:v>-4.3010711669921875E-4</c:v>
                </c:pt>
                <c:pt idx="15">
                  <c:v>4.9570083618164063E-2</c:v>
                </c:pt>
                <c:pt idx="16">
                  <c:v>9.9493026733398438E-2</c:v>
                </c:pt>
                <c:pt idx="17">
                  <c:v>0.14949321746826172</c:v>
                </c:pt>
                <c:pt idx="18">
                  <c:v>0.199493408203125</c:v>
                </c:pt>
                <c:pt idx="19">
                  <c:v>0.24941539764404297</c:v>
                </c:pt>
                <c:pt idx="20">
                  <c:v>0.29941558837890625</c:v>
                </c:pt>
                <c:pt idx="21">
                  <c:v>0.34941577911376953</c:v>
                </c:pt>
                <c:pt idx="22">
                  <c:v>0.3993377685546875</c:v>
                </c:pt>
                <c:pt idx="23">
                  <c:v>0.44933795928955078</c:v>
                </c:pt>
                <c:pt idx="24">
                  <c:v>0.49933815002441406</c:v>
                </c:pt>
                <c:pt idx="25">
                  <c:v>0.54926013946533203</c:v>
                </c:pt>
                <c:pt idx="26">
                  <c:v>0.59926033020019531</c:v>
                </c:pt>
                <c:pt idx="27">
                  <c:v>0.64926052093505859</c:v>
                </c:pt>
                <c:pt idx="28">
                  <c:v>0.69918251037597656</c:v>
                </c:pt>
                <c:pt idx="29">
                  <c:v>0.74918270111083984</c:v>
                </c:pt>
                <c:pt idx="30">
                  <c:v>0.79918289184570313</c:v>
                </c:pt>
                <c:pt idx="31">
                  <c:v>0.84910488128662109</c:v>
                </c:pt>
                <c:pt idx="32">
                  <c:v>0.89910507202148438</c:v>
                </c:pt>
                <c:pt idx="33">
                  <c:v>0.94902706146240234</c:v>
                </c:pt>
                <c:pt idx="34">
                  <c:v>0.99902725219726563</c:v>
                </c:pt>
                <c:pt idx="35">
                  <c:v>0.94902706146240234</c:v>
                </c:pt>
                <c:pt idx="36">
                  <c:v>0.89910507202148438</c:v>
                </c:pt>
                <c:pt idx="37">
                  <c:v>0.84910488128662109</c:v>
                </c:pt>
                <c:pt idx="38">
                  <c:v>0.79918289184570313</c:v>
                </c:pt>
                <c:pt idx="39">
                  <c:v>0.74918270111083984</c:v>
                </c:pt>
                <c:pt idx="40">
                  <c:v>0.69918251037597656</c:v>
                </c:pt>
                <c:pt idx="41">
                  <c:v>0.64926052093505859</c:v>
                </c:pt>
                <c:pt idx="42">
                  <c:v>0.59926033020019531</c:v>
                </c:pt>
                <c:pt idx="43">
                  <c:v>0.54926013946533203</c:v>
                </c:pt>
                <c:pt idx="44">
                  <c:v>0.49933815002441406</c:v>
                </c:pt>
                <c:pt idx="45">
                  <c:v>0.44933795928955078</c:v>
                </c:pt>
                <c:pt idx="46">
                  <c:v>0.3993377685546875</c:v>
                </c:pt>
                <c:pt idx="47">
                  <c:v>0.34941577911376953</c:v>
                </c:pt>
                <c:pt idx="48">
                  <c:v>0.29941558837890625</c:v>
                </c:pt>
                <c:pt idx="49">
                  <c:v>0.24941539764404297</c:v>
                </c:pt>
                <c:pt idx="50">
                  <c:v>0.199493408203125</c:v>
                </c:pt>
                <c:pt idx="51">
                  <c:v>0.14949321746826172</c:v>
                </c:pt>
                <c:pt idx="52">
                  <c:v>9.9493026733398438E-2</c:v>
                </c:pt>
                <c:pt idx="53">
                  <c:v>4.9570083618164063E-2</c:v>
                </c:pt>
                <c:pt idx="54">
                  <c:v>-4.3010711669921875E-4</c:v>
                </c:pt>
                <c:pt idx="55">
                  <c:v>-5.04302978515625E-2</c:v>
                </c:pt>
                <c:pt idx="56">
                  <c:v>-0.10035228729248047</c:v>
                </c:pt>
                <c:pt idx="57">
                  <c:v>-0.15035247802734375</c:v>
                </c:pt>
                <c:pt idx="58">
                  <c:v>-0.20027446746826172</c:v>
                </c:pt>
                <c:pt idx="59">
                  <c:v>-0.250274658203125</c:v>
                </c:pt>
                <c:pt idx="60">
                  <c:v>-0.30027484893798828</c:v>
                </c:pt>
                <c:pt idx="61">
                  <c:v>-0.35019683837890625</c:v>
                </c:pt>
                <c:pt idx="62">
                  <c:v>-0.40019702911376953</c:v>
                </c:pt>
                <c:pt idx="63">
                  <c:v>-0.45019721984863281</c:v>
                </c:pt>
                <c:pt idx="64">
                  <c:v>-0.50011920928955078</c:v>
                </c:pt>
                <c:pt idx="65">
                  <c:v>-0.55011940002441406</c:v>
                </c:pt>
                <c:pt idx="66">
                  <c:v>-0.60011959075927734</c:v>
                </c:pt>
                <c:pt idx="67">
                  <c:v>-0.65004158020019531</c:v>
                </c:pt>
              </c:numCache>
            </c:numRef>
          </c:xVal>
          <c:yVal>
            <c:numRef>
              <c:f>Sheet1!$F$3:$F$71</c:f>
              <c:numCache>
                <c:formatCode>General</c:formatCode>
                <c:ptCount val="69"/>
                <c:pt idx="0">
                  <c:v>-168.08509826660156</c:v>
                </c:pt>
                <c:pt idx="1">
                  <c:v>18.835067749023438</c:v>
                </c:pt>
                <c:pt idx="2">
                  <c:v>102.75840759277344</c:v>
                </c:pt>
                <c:pt idx="3">
                  <c:v>154.25682067871094</c:v>
                </c:pt>
                <c:pt idx="4">
                  <c:v>192.40379333496094</c:v>
                </c:pt>
                <c:pt idx="5">
                  <c:v>221.96769714355469</c:v>
                </c:pt>
                <c:pt idx="6">
                  <c:v>245.33271789550781</c:v>
                </c:pt>
                <c:pt idx="7">
                  <c:v>264.883056640625</c:v>
                </c:pt>
                <c:pt idx="8">
                  <c:v>280.141845703125</c:v>
                </c:pt>
                <c:pt idx="9">
                  <c:v>291.10906982421875</c:v>
                </c:pt>
                <c:pt idx="10">
                  <c:v>298.73846435546875</c:v>
                </c:pt>
                <c:pt idx="11">
                  <c:v>300.16900634765625</c:v>
                </c:pt>
                <c:pt idx="12">
                  <c:v>295.87744140625</c:v>
                </c:pt>
                <c:pt idx="13">
                  <c:v>289.20172119140625</c:v>
                </c:pt>
                <c:pt idx="14">
                  <c:v>284.433349609375</c:v>
                </c:pt>
                <c:pt idx="15">
                  <c:v>289.6785888671875</c:v>
                </c:pt>
                <c:pt idx="16">
                  <c:v>331.6402587890625</c:v>
                </c:pt>
                <c:pt idx="17">
                  <c:v>425.100341796875</c:v>
                </c:pt>
                <c:pt idx="18">
                  <c:v>474.21453857421875</c:v>
                </c:pt>
                <c:pt idx="19">
                  <c:v>469.92303466796875</c:v>
                </c:pt>
                <c:pt idx="20">
                  <c:v>469.92303466796875</c:v>
                </c:pt>
                <c:pt idx="21">
                  <c:v>483.27447509765625</c:v>
                </c:pt>
                <c:pt idx="22">
                  <c:v>508.54681396484375</c:v>
                </c:pt>
                <c:pt idx="23">
                  <c:v>536.203369140625</c:v>
                </c:pt>
                <c:pt idx="24">
                  <c:v>567.67462158203125</c:v>
                </c:pt>
                <c:pt idx="25">
                  <c:v>599.62274169921875</c:v>
                </c:pt>
                <c:pt idx="26">
                  <c:v>630.14508056640625</c:v>
                </c:pt>
                <c:pt idx="27">
                  <c:v>664.00048828125</c:v>
                </c:pt>
                <c:pt idx="28">
                  <c:v>697.37908935546875</c:v>
                </c:pt>
                <c:pt idx="29">
                  <c:v>739.34075927734375</c:v>
                </c:pt>
                <c:pt idx="30">
                  <c:v>797.0380859375</c:v>
                </c:pt>
                <c:pt idx="31">
                  <c:v>871.4246826171875</c:v>
                </c:pt>
                <c:pt idx="32">
                  <c:v>976.328857421875</c:v>
                </c:pt>
                <c:pt idx="33">
                  <c:v>1129.870361328125</c:v>
                </c:pt>
                <c:pt idx="34">
                  <c:v>1357.32177734375</c:v>
                </c:pt>
                <c:pt idx="35">
                  <c:v>627.2840576171875</c:v>
                </c:pt>
                <c:pt idx="36">
                  <c:v>243.42536926269531</c:v>
                </c:pt>
                <c:pt idx="37">
                  <c:v>31.709671020507813</c:v>
                </c:pt>
                <c:pt idx="38">
                  <c:v>-95.605850219726563</c:v>
                </c:pt>
                <c:pt idx="39">
                  <c:v>-177.14500427246094</c:v>
                </c:pt>
                <c:pt idx="40">
                  <c:v>-232.45811462402344</c:v>
                </c:pt>
                <c:pt idx="41">
                  <c:v>-269.65142822265625</c:v>
                </c:pt>
                <c:pt idx="42">
                  <c:v>-300.64581298828125</c:v>
                </c:pt>
                <c:pt idx="43">
                  <c:v>-325.44134521484375</c:v>
                </c:pt>
                <c:pt idx="44">
                  <c:v>-342.13067626953125</c:v>
                </c:pt>
                <c:pt idx="45">
                  <c:v>-353.097900390625</c:v>
                </c:pt>
                <c:pt idx="46">
                  <c:v>-355.95892333984375</c:v>
                </c:pt>
                <c:pt idx="47">
                  <c:v>-355.48211669921875</c:v>
                </c:pt>
                <c:pt idx="48">
                  <c:v>-351.1905517578125</c:v>
                </c:pt>
                <c:pt idx="49">
                  <c:v>-347.3758544921875</c:v>
                </c:pt>
                <c:pt idx="50">
                  <c:v>-351.1905517578125</c:v>
                </c:pt>
                <c:pt idx="51">
                  <c:v>-382.66180419921875</c:v>
                </c:pt>
                <c:pt idx="52">
                  <c:v>-466.10833740234375</c:v>
                </c:pt>
                <c:pt idx="53">
                  <c:v>-519.99090576171875</c:v>
                </c:pt>
                <c:pt idx="54">
                  <c:v>-508.54681396484375</c:v>
                </c:pt>
                <c:pt idx="55">
                  <c:v>-491.8575439453125</c:v>
                </c:pt>
                <c:pt idx="56">
                  <c:v>-486.6123046875</c:v>
                </c:pt>
                <c:pt idx="57">
                  <c:v>-491.38067626953125</c:v>
                </c:pt>
                <c:pt idx="58">
                  <c:v>-506.63946533203125</c:v>
                </c:pt>
                <c:pt idx="59">
                  <c:v>-527.14349365234375</c:v>
                </c:pt>
                <c:pt idx="60">
                  <c:v>-549.5548095703125</c:v>
                </c:pt>
                <c:pt idx="61">
                  <c:v>-571.9661865234375</c:v>
                </c:pt>
                <c:pt idx="62">
                  <c:v>-590.08599853515625</c:v>
                </c:pt>
                <c:pt idx="63">
                  <c:v>-604.39111328125</c:v>
                </c:pt>
                <c:pt idx="64">
                  <c:v>-618.2193603515625</c:v>
                </c:pt>
                <c:pt idx="65">
                  <c:v>-632.05242919921875</c:v>
                </c:pt>
                <c:pt idx="66">
                  <c:v>-644.4501953125</c:v>
                </c:pt>
                <c:pt idx="67">
                  <c:v>-658.2784423828125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A0-4909-BE9A-CF5A77C39B91}"/>
            </c:ext>
          </c:extLst>
        </c:ser>
        <c:ser>
          <c:idx val="3"/>
          <c:order val="3"/>
          <c:tx>
            <c:v>CV i vs E</c:v>
          </c:tx>
          <c:xVal>
            <c:numRef>
              <c:f>Sheet1!$G$3:$G$71</c:f>
              <c:numCache>
                <c:formatCode>General</c:formatCode>
                <c:ptCount val="69"/>
                <c:pt idx="0">
                  <c:v>-0.70004177093505859</c:v>
                </c:pt>
                <c:pt idx="1">
                  <c:v>-0.65004158020019531</c:v>
                </c:pt>
                <c:pt idx="2">
                  <c:v>-0.60011959075927734</c:v>
                </c:pt>
                <c:pt idx="3">
                  <c:v>-0.55011940002441406</c:v>
                </c:pt>
                <c:pt idx="4">
                  <c:v>-0.50011920928955078</c:v>
                </c:pt>
                <c:pt idx="5">
                  <c:v>-0.45019721984863281</c:v>
                </c:pt>
                <c:pt idx="6">
                  <c:v>-0.40019702911376953</c:v>
                </c:pt>
                <c:pt idx="7">
                  <c:v>-0.35019683837890625</c:v>
                </c:pt>
                <c:pt idx="8">
                  <c:v>-0.30027484893798828</c:v>
                </c:pt>
                <c:pt idx="9">
                  <c:v>-0.250274658203125</c:v>
                </c:pt>
                <c:pt idx="10">
                  <c:v>-0.20027446746826172</c:v>
                </c:pt>
                <c:pt idx="11">
                  <c:v>-0.15035247802734375</c:v>
                </c:pt>
                <c:pt idx="12">
                  <c:v>-0.10035228729248047</c:v>
                </c:pt>
                <c:pt idx="13">
                  <c:v>-5.04302978515625E-2</c:v>
                </c:pt>
                <c:pt idx="14">
                  <c:v>-4.3010711669921875E-4</c:v>
                </c:pt>
                <c:pt idx="15">
                  <c:v>4.9570083618164063E-2</c:v>
                </c:pt>
                <c:pt idx="16">
                  <c:v>9.9493026733398438E-2</c:v>
                </c:pt>
                <c:pt idx="17">
                  <c:v>0.14949321746826172</c:v>
                </c:pt>
                <c:pt idx="18">
                  <c:v>0.199493408203125</c:v>
                </c:pt>
                <c:pt idx="19">
                  <c:v>0.24941539764404297</c:v>
                </c:pt>
                <c:pt idx="20">
                  <c:v>0.29941558837890625</c:v>
                </c:pt>
                <c:pt idx="21">
                  <c:v>0.34941577911376953</c:v>
                </c:pt>
                <c:pt idx="22">
                  <c:v>0.3993377685546875</c:v>
                </c:pt>
                <c:pt idx="23">
                  <c:v>0.44933795928955078</c:v>
                </c:pt>
                <c:pt idx="24">
                  <c:v>0.49933815002441406</c:v>
                </c:pt>
                <c:pt idx="25">
                  <c:v>0.54926013946533203</c:v>
                </c:pt>
                <c:pt idx="26">
                  <c:v>0.59926033020019531</c:v>
                </c:pt>
                <c:pt idx="27">
                  <c:v>0.64926052093505859</c:v>
                </c:pt>
                <c:pt idx="28">
                  <c:v>0.69918251037597656</c:v>
                </c:pt>
                <c:pt idx="29">
                  <c:v>0.74918270111083984</c:v>
                </c:pt>
                <c:pt idx="30">
                  <c:v>0.79918289184570313</c:v>
                </c:pt>
                <c:pt idx="31">
                  <c:v>0.84910488128662109</c:v>
                </c:pt>
                <c:pt idx="32">
                  <c:v>0.89910507202148438</c:v>
                </c:pt>
                <c:pt idx="33">
                  <c:v>0.94902706146240234</c:v>
                </c:pt>
                <c:pt idx="34">
                  <c:v>0.99902725219726563</c:v>
                </c:pt>
                <c:pt idx="35">
                  <c:v>0.94902706146240234</c:v>
                </c:pt>
                <c:pt idx="36">
                  <c:v>0.89910507202148438</c:v>
                </c:pt>
                <c:pt idx="37">
                  <c:v>0.84910488128662109</c:v>
                </c:pt>
                <c:pt idx="38">
                  <c:v>0.79918289184570313</c:v>
                </c:pt>
                <c:pt idx="39">
                  <c:v>0.74918270111083984</c:v>
                </c:pt>
                <c:pt idx="40">
                  <c:v>0.69918251037597656</c:v>
                </c:pt>
                <c:pt idx="41">
                  <c:v>0.64926052093505859</c:v>
                </c:pt>
                <c:pt idx="42">
                  <c:v>0.59926033020019531</c:v>
                </c:pt>
                <c:pt idx="43">
                  <c:v>0.54926013946533203</c:v>
                </c:pt>
                <c:pt idx="44">
                  <c:v>0.49933815002441406</c:v>
                </c:pt>
                <c:pt idx="45">
                  <c:v>0.44933795928955078</c:v>
                </c:pt>
                <c:pt idx="46">
                  <c:v>0.3993377685546875</c:v>
                </c:pt>
                <c:pt idx="47">
                  <c:v>0.34941577911376953</c:v>
                </c:pt>
                <c:pt idx="48">
                  <c:v>0.29941558837890625</c:v>
                </c:pt>
                <c:pt idx="49">
                  <c:v>0.24941539764404297</c:v>
                </c:pt>
                <c:pt idx="50">
                  <c:v>0.199493408203125</c:v>
                </c:pt>
                <c:pt idx="51">
                  <c:v>0.14949321746826172</c:v>
                </c:pt>
                <c:pt idx="52">
                  <c:v>9.9493026733398438E-2</c:v>
                </c:pt>
                <c:pt idx="53">
                  <c:v>4.9570083618164063E-2</c:v>
                </c:pt>
                <c:pt idx="54">
                  <c:v>-4.3010711669921875E-4</c:v>
                </c:pt>
                <c:pt idx="55">
                  <c:v>-5.04302978515625E-2</c:v>
                </c:pt>
                <c:pt idx="56">
                  <c:v>-0.10035228729248047</c:v>
                </c:pt>
                <c:pt idx="57">
                  <c:v>-0.15035247802734375</c:v>
                </c:pt>
                <c:pt idx="58">
                  <c:v>-0.20027446746826172</c:v>
                </c:pt>
                <c:pt idx="59">
                  <c:v>-0.250274658203125</c:v>
                </c:pt>
                <c:pt idx="60">
                  <c:v>-0.30027484893798828</c:v>
                </c:pt>
                <c:pt idx="61">
                  <c:v>-0.35019683837890625</c:v>
                </c:pt>
                <c:pt idx="62">
                  <c:v>-0.40019702911376953</c:v>
                </c:pt>
                <c:pt idx="63">
                  <c:v>-0.45019721984863281</c:v>
                </c:pt>
                <c:pt idx="64">
                  <c:v>-0.50011920928955078</c:v>
                </c:pt>
                <c:pt idx="65">
                  <c:v>-0.55011940002441406</c:v>
                </c:pt>
                <c:pt idx="66">
                  <c:v>-0.60011959075927734</c:v>
                </c:pt>
                <c:pt idx="67">
                  <c:v>-0.65004158020019531</c:v>
                </c:pt>
              </c:numCache>
            </c:numRef>
          </c:xVal>
          <c:yVal>
            <c:numRef>
              <c:f>Sheet1!$H$3:$H$71</c:f>
              <c:numCache>
                <c:formatCode>General</c:formatCode>
                <c:ptCount val="69"/>
                <c:pt idx="0">
                  <c:v>-182.86705017089844</c:v>
                </c:pt>
                <c:pt idx="1">
                  <c:v>4.0531158447265625</c:v>
                </c:pt>
                <c:pt idx="2">
                  <c:v>87.499618530273438</c:v>
                </c:pt>
                <c:pt idx="3">
                  <c:v>139.47486877441406</c:v>
                </c:pt>
                <c:pt idx="4">
                  <c:v>177.62184143066406</c:v>
                </c:pt>
                <c:pt idx="5">
                  <c:v>207.18574523925781</c:v>
                </c:pt>
                <c:pt idx="6">
                  <c:v>231.50444030761719</c:v>
                </c:pt>
                <c:pt idx="7">
                  <c:v>251.53160095214844</c:v>
                </c:pt>
                <c:pt idx="8">
                  <c:v>267.2672119140625</c:v>
                </c:pt>
                <c:pt idx="9">
                  <c:v>278.7113037109375</c:v>
                </c:pt>
                <c:pt idx="10">
                  <c:v>287.29437255859375</c:v>
                </c:pt>
                <c:pt idx="11">
                  <c:v>290.1553955078125</c:v>
                </c:pt>
                <c:pt idx="12">
                  <c:v>287.29437255859375</c:v>
                </c:pt>
                <c:pt idx="13">
                  <c:v>281.09552001953125</c:v>
                </c:pt>
                <c:pt idx="14">
                  <c:v>277.28082275390625</c:v>
                </c:pt>
                <c:pt idx="15">
                  <c:v>286.81756591796875</c:v>
                </c:pt>
                <c:pt idx="16">
                  <c:v>342.13067626953125</c:v>
                </c:pt>
                <c:pt idx="17">
                  <c:v>458.47894287109375</c:v>
                </c:pt>
                <c:pt idx="18">
                  <c:v>521.89825439453125</c:v>
                </c:pt>
                <c:pt idx="19">
                  <c:v>514.26885986328125</c:v>
                </c:pt>
                <c:pt idx="20">
                  <c:v>508.07000732421875</c:v>
                </c:pt>
                <c:pt idx="21">
                  <c:v>516.653076171875</c:v>
                </c:pt>
                <c:pt idx="22">
                  <c:v>537.15704345703125</c:v>
                </c:pt>
                <c:pt idx="23">
                  <c:v>559.56842041015625</c:v>
                </c:pt>
                <c:pt idx="24">
                  <c:v>587.2249755859375</c:v>
                </c:pt>
                <c:pt idx="25">
                  <c:v>614.88153076171875</c:v>
                </c:pt>
                <c:pt idx="26">
                  <c:v>643.0196533203125</c:v>
                </c:pt>
                <c:pt idx="27">
                  <c:v>671.6298828125</c:v>
                </c:pt>
                <c:pt idx="28">
                  <c:v>701.670654296875</c:v>
                </c:pt>
                <c:pt idx="29">
                  <c:v>740.77130126953125</c:v>
                </c:pt>
                <c:pt idx="30">
                  <c:v>795.6075439453125</c:v>
                </c:pt>
                <c:pt idx="31">
                  <c:v>868.0867919921875</c:v>
                </c:pt>
                <c:pt idx="32">
                  <c:v>967.2689208984375</c:v>
                </c:pt>
                <c:pt idx="33">
                  <c:v>1113.18115234375</c:v>
                </c:pt>
                <c:pt idx="34">
                  <c:v>1334.43359375</c:v>
                </c:pt>
                <c:pt idx="35">
                  <c:v>623.94140625</c:v>
                </c:pt>
                <c:pt idx="36">
                  <c:v>250.57792663574219</c:v>
                </c:pt>
                <c:pt idx="37">
                  <c:v>43.630599975585938</c:v>
                </c:pt>
                <c:pt idx="38">
                  <c:v>-81.300735473632813</c:v>
                </c:pt>
                <c:pt idx="39">
                  <c:v>-162.36305236816406</c:v>
                </c:pt>
                <c:pt idx="40">
                  <c:v>-217.19932556152344</c:v>
                </c:pt>
                <c:pt idx="41">
                  <c:v>-254.39262390136719</c:v>
                </c:pt>
                <c:pt idx="42">
                  <c:v>-285.38702392578125</c:v>
                </c:pt>
                <c:pt idx="43">
                  <c:v>-310.659423828125</c:v>
                </c:pt>
                <c:pt idx="44">
                  <c:v>-328.3023681640625</c:v>
                </c:pt>
                <c:pt idx="45">
                  <c:v>-340.22332763671875</c:v>
                </c:pt>
                <c:pt idx="46">
                  <c:v>-344.03802490234375</c:v>
                </c:pt>
                <c:pt idx="47">
                  <c:v>-344.99169921875</c:v>
                </c:pt>
                <c:pt idx="48">
                  <c:v>-342.60748291015625</c:v>
                </c:pt>
                <c:pt idx="49">
                  <c:v>-339.7464599609375</c:v>
                </c:pt>
                <c:pt idx="50">
                  <c:v>-345.468505859375</c:v>
                </c:pt>
                <c:pt idx="51">
                  <c:v>-381.7081298828125</c:v>
                </c:pt>
                <c:pt idx="52">
                  <c:v>-481.84393310546875</c:v>
                </c:pt>
                <c:pt idx="53">
                  <c:v>-557.66107177734375</c:v>
                </c:pt>
                <c:pt idx="54">
                  <c:v>-548.60113525390625</c:v>
                </c:pt>
                <c:pt idx="55">
                  <c:v>-526.6666259765625</c:v>
                </c:pt>
                <c:pt idx="56">
                  <c:v>-515.2225341796875</c:v>
                </c:pt>
                <c:pt idx="57">
                  <c:v>-516.653076171875</c:v>
                </c:pt>
                <c:pt idx="58">
                  <c:v>-529.05084228515625</c:v>
                </c:pt>
                <c:pt idx="59">
                  <c:v>-548.12432861328125</c:v>
                </c:pt>
                <c:pt idx="60">
                  <c:v>-570.53564453125</c:v>
                </c:pt>
                <c:pt idx="61">
                  <c:v>-592.47015380859375</c:v>
                </c:pt>
                <c:pt idx="62">
                  <c:v>-610.1131591796875</c:v>
                </c:pt>
                <c:pt idx="63">
                  <c:v>-623.94140625</c:v>
                </c:pt>
                <c:pt idx="64">
                  <c:v>-637.297607421875</c:v>
                </c:pt>
                <c:pt idx="65">
                  <c:v>-649.69537353515625</c:v>
                </c:pt>
                <c:pt idx="66">
                  <c:v>-661.13946533203125</c:v>
                </c:pt>
                <c:pt idx="67">
                  <c:v>-673.0604248046875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8A0-4909-BE9A-CF5A77C39B91}"/>
            </c:ext>
          </c:extLst>
        </c:ser>
        <c:ser>
          <c:idx val="4"/>
          <c:order val="4"/>
          <c:tx>
            <c:v>CV i vs E</c:v>
          </c:tx>
          <c:xVal>
            <c:numRef>
              <c:f>Sheet1!$I$3:$I$71</c:f>
              <c:numCache>
                <c:formatCode>General</c:formatCode>
                <c:ptCount val="69"/>
                <c:pt idx="0">
                  <c:v>-0.70004177093505859</c:v>
                </c:pt>
                <c:pt idx="1">
                  <c:v>-0.65004158020019531</c:v>
                </c:pt>
                <c:pt idx="2">
                  <c:v>-0.60011959075927734</c:v>
                </c:pt>
                <c:pt idx="3">
                  <c:v>-0.55011940002441406</c:v>
                </c:pt>
                <c:pt idx="4">
                  <c:v>-0.50011920928955078</c:v>
                </c:pt>
                <c:pt idx="5">
                  <c:v>-0.45019721984863281</c:v>
                </c:pt>
                <c:pt idx="6">
                  <c:v>-0.40019702911376953</c:v>
                </c:pt>
                <c:pt idx="7">
                  <c:v>-0.35019683837890625</c:v>
                </c:pt>
                <c:pt idx="8">
                  <c:v>-0.30027484893798828</c:v>
                </c:pt>
                <c:pt idx="9">
                  <c:v>-0.250274658203125</c:v>
                </c:pt>
                <c:pt idx="10">
                  <c:v>-0.20027446746826172</c:v>
                </c:pt>
                <c:pt idx="11">
                  <c:v>-0.15035247802734375</c:v>
                </c:pt>
                <c:pt idx="12">
                  <c:v>-0.10035228729248047</c:v>
                </c:pt>
                <c:pt idx="13">
                  <c:v>-5.04302978515625E-2</c:v>
                </c:pt>
                <c:pt idx="14">
                  <c:v>-4.3010711669921875E-4</c:v>
                </c:pt>
                <c:pt idx="15">
                  <c:v>4.9570083618164063E-2</c:v>
                </c:pt>
                <c:pt idx="16">
                  <c:v>9.9493026733398438E-2</c:v>
                </c:pt>
                <c:pt idx="17">
                  <c:v>0.14949321746826172</c:v>
                </c:pt>
                <c:pt idx="18">
                  <c:v>0.199493408203125</c:v>
                </c:pt>
                <c:pt idx="19">
                  <c:v>0.24941539764404297</c:v>
                </c:pt>
                <c:pt idx="20">
                  <c:v>0.29941558837890625</c:v>
                </c:pt>
                <c:pt idx="21">
                  <c:v>0.34941577911376953</c:v>
                </c:pt>
                <c:pt idx="22">
                  <c:v>0.3993377685546875</c:v>
                </c:pt>
                <c:pt idx="23">
                  <c:v>0.44933795928955078</c:v>
                </c:pt>
                <c:pt idx="24">
                  <c:v>0.49933815002441406</c:v>
                </c:pt>
                <c:pt idx="25">
                  <c:v>0.54926013946533203</c:v>
                </c:pt>
                <c:pt idx="26">
                  <c:v>0.59926033020019531</c:v>
                </c:pt>
                <c:pt idx="27">
                  <c:v>0.64926052093505859</c:v>
                </c:pt>
                <c:pt idx="28">
                  <c:v>0.69918251037597656</c:v>
                </c:pt>
                <c:pt idx="29">
                  <c:v>0.74918270111083984</c:v>
                </c:pt>
                <c:pt idx="30">
                  <c:v>0.79918289184570313</c:v>
                </c:pt>
                <c:pt idx="31">
                  <c:v>0.84910488128662109</c:v>
                </c:pt>
                <c:pt idx="32">
                  <c:v>0.89910507202148438</c:v>
                </c:pt>
                <c:pt idx="33">
                  <c:v>0.94902706146240234</c:v>
                </c:pt>
                <c:pt idx="34">
                  <c:v>0.99902725219726563</c:v>
                </c:pt>
                <c:pt idx="35">
                  <c:v>0.94902706146240234</c:v>
                </c:pt>
                <c:pt idx="36">
                  <c:v>0.89910507202148438</c:v>
                </c:pt>
                <c:pt idx="37">
                  <c:v>0.84910488128662109</c:v>
                </c:pt>
                <c:pt idx="38">
                  <c:v>0.79918289184570313</c:v>
                </c:pt>
                <c:pt idx="39">
                  <c:v>0.74918270111083984</c:v>
                </c:pt>
                <c:pt idx="40">
                  <c:v>0.69918251037597656</c:v>
                </c:pt>
                <c:pt idx="41">
                  <c:v>0.64926052093505859</c:v>
                </c:pt>
                <c:pt idx="42">
                  <c:v>0.59926033020019531</c:v>
                </c:pt>
                <c:pt idx="43">
                  <c:v>0.54926013946533203</c:v>
                </c:pt>
                <c:pt idx="44">
                  <c:v>0.49933815002441406</c:v>
                </c:pt>
                <c:pt idx="45">
                  <c:v>0.44933795928955078</c:v>
                </c:pt>
                <c:pt idx="46">
                  <c:v>0.3993377685546875</c:v>
                </c:pt>
                <c:pt idx="47">
                  <c:v>0.34941577911376953</c:v>
                </c:pt>
                <c:pt idx="48">
                  <c:v>0.29941558837890625</c:v>
                </c:pt>
                <c:pt idx="49">
                  <c:v>0.24941539764404297</c:v>
                </c:pt>
                <c:pt idx="50">
                  <c:v>0.199493408203125</c:v>
                </c:pt>
                <c:pt idx="51">
                  <c:v>0.14949321746826172</c:v>
                </c:pt>
                <c:pt idx="52">
                  <c:v>9.9493026733398438E-2</c:v>
                </c:pt>
                <c:pt idx="53">
                  <c:v>4.9570083618164063E-2</c:v>
                </c:pt>
                <c:pt idx="54">
                  <c:v>-4.3010711669921875E-4</c:v>
                </c:pt>
                <c:pt idx="55">
                  <c:v>-5.04302978515625E-2</c:v>
                </c:pt>
                <c:pt idx="56">
                  <c:v>-0.10035228729248047</c:v>
                </c:pt>
                <c:pt idx="57">
                  <c:v>-0.15035247802734375</c:v>
                </c:pt>
                <c:pt idx="58">
                  <c:v>-0.20027446746826172</c:v>
                </c:pt>
                <c:pt idx="59">
                  <c:v>-0.250274658203125</c:v>
                </c:pt>
                <c:pt idx="60">
                  <c:v>-0.30027484893798828</c:v>
                </c:pt>
                <c:pt idx="61">
                  <c:v>-0.35019683837890625</c:v>
                </c:pt>
                <c:pt idx="62">
                  <c:v>-0.40019702911376953</c:v>
                </c:pt>
                <c:pt idx="63">
                  <c:v>-0.45019721984863281</c:v>
                </c:pt>
                <c:pt idx="64">
                  <c:v>-0.50011920928955078</c:v>
                </c:pt>
                <c:pt idx="65">
                  <c:v>-0.55011940002441406</c:v>
                </c:pt>
                <c:pt idx="66">
                  <c:v>-0.60011959075927734</c:v>
                </c:pt>
                <c:pt idx="67">
                  <c:v>-0.65004158020019531</c:v>
                </c:pt>
              </c:numCache>
            </c:numRef>
          </c:xVal>
          <c:yVal>
            <c:numRef>
              <c:f>Sheet1!$J$3:$J$71</c:f>
              <c:numCache>
                <c:formatCode>General</c:formatCode>
                <c:ptCount val="69"/>
                <c:pt idx="0">
                  <c:v>-193.83430480957031</c:v>
                </c:pt>
                <c:pt idx="1">
                  <c:v>-5.0067901611328125</c:v>
                </c:pt>
                <c:pt idx="2">
                  <c:v>79.870223999023438</c:v>
                </c:pt>
                <c:pt idx="3">
                  <c:v>132.79914855957031</c:v>
                </c:pt>
                <c:pt idx="4">
                  <c:v>171.42295837402344</c:v>
                </c:pt>
                <c:pt idx="5">
                  <c:v>201.94053649902344</c:v>
                </c:pt>
                <c:pt idx="6">
                  <c:v>225.78239440917969</c:v>
                </c:pt>
                <c:pt idx="7">
                  <c:v>245.33271789550781</c:v>
                </c:pt>
                <c:pt idx="8">
                  <c:v>260.59149169921875</c:v>
                </c:pt>
                <c:pt idx="9">
                  <c:v>271.0819091796875</c:v>
                </c:pt>
                <c:pt idx="10">
                  <c:v>277.28082275390625</c:v>
                </c:pt>
                <c:pt idx="11">
                  <c:v>275.37347412109375</c:v>
                </c:pt>
                <c:pt idx="12">
                  <c:v>268.69775390625</c:v>
                </c:pt>
                <c:pt idx="13">
                  <c:v>262.02203369140625</c:v>
                </c:pt>
                <c:pt idx="14">
                  <c:v>263.4525146484375</c:v>
                </c:pt>
                <c:pt idx="15">
                  <c:v>292.062744140625</c:v>
                </c:pt>
                <c:pt idx="16">
                  <c:v>394.10589599609375</c:v>
                </c:pt>
                <c:pt idx="17">
                  <c:v>521.89825439453125</c:v>
                </c:pt>
                <c:pt idx="18">
                  <c:v>552.41583251953125</c:v>
                </c:pt>
                <c:pt idx="19">
                  <c:v>537.15704345703125</c:v>
                </c:pt>
                <c:pt idx="20">
                  <c:v>533.8192138671875</c:v>
                </c:pt>
                <c:pt idx="21">
                  <c:v>547.170654296875</c:v>
                </c:pt>
                <c:pt idx="22">
                  <c:v>568.1514892578125</c:v>
                </c:pt>
                <c:pt idx="23">
                  <c:v>591.0396728515625</c:v>
                </c:pt>
                <c:pt idx="24">
                  <c:v>617.26568603515625</c:v>
                </c:pt>
                <c:pt idx="25">
                  <c:v>643.0196533203125</c:v>
                </c:pt>
                <c:pt idx="26">
                  <c:v>670.67620849609375</c:v>
                </c:pt>
                <c:pt idx="27">
                  <c:v>698.80963134765625</c:v>
                </c:pt>
                <c:pt idx="28">
                  <c:v>730.2808837890625</c:v>
                </c:pt>
                <c:pt idx="29">
                  <c:v>774.14990234375</c:v>
                </c:pt>
                <c:pt idx="30">
                  <c:v>831.370361328125</c:v>
                </c:pt>
                <c:pt idx="31">
                  <c:v>905.28009033203125</c:v>
                </c:pt>
                <c:pt idx="32">
                  <c:v>1012.0916137695313</c:v>
                </c:pt>
                <c:pt idx="33">
                  <c:v>1172.3089599609375</c:v>
                </c:pt>
                <c:pt idx="34">
                  <c:v>1426.93994140625</c:v>
                </c:pt>
                <c:pt idx="35">
                  <c:v>695.47174072265625</c:v>
                </c:pt>
                <c:pt idx="36">
                  <c:v>293.4932861328125</c:v>
                </c:pt>
                <c:pt idx="37">
                  <c:v>72.240829467773438</c:v>
                </c:pt>
                <c:pt idx="38">
                  <c:v>-60.796737670898438</c:v>
                </c:pt>
                <c:pt idx="39">
                  <c:v>-147.10426330566406</c:v>
                </c:pt>
                <c:pt idx="40">
                  <c:v>-206.70890808105469</c:v>
                </c:pt>
                <c:pt idx="41">
                  <c:v>-246.76322937011719</c:v>
                </c:pt>
                <c:pt idx="42">
                  <c:v>-278.2344970703125</c:v>
                </c:pt>
                <c:pt idx="43">
                  <c:v>-305.4141845703125</c:v>
                </c:pt>
                <c:pt idx="44">
                  <c:v>-325.918212890625</c:v>
                </c:pt>
                <c:pt idx="45">
                  <c:v>-339.7464599609375</c:v>
                </c:pt>
                <c:pt idx="46">
                  <c:v>-347.85272216796875</c:v>
                </c:pt>
                <c:pt idx="47">
                  <c:v>-349.76007080078125</c:v>
                </c:pt>
                <c:pt idx="48">
                  <c:v>-349.283203125</c:v>
                </c:pt>
                <c:pt idx="49">
                  <c:v>-346.42218017578125</c:v>
                </c:pt>
                <c:pt idx="50">
                  <c:v>-347.85272216796875</c:v>
                </c:pt>
                <c:pt idx="51">
                  <c:v>-367.40301513671875</c:v>
                </c:pt>
                <c:pt idx="52">
                  <c:v>-450.3726806640625</c:v>
                </c:pt>
                <c:pt idx="53">
                  <c:v>-570.53564453125</c:v>
                </c:pt>
                <c:pt idx="54">
                  <c:v>-602.9605712890625</c:v>
                </c:pt>
                <c:pt idx="55">
                  <c:v>-577.21136474609375</c:v>
                </c:pt>
                <c:pt idx="56">
                  <c:v>-555.27685546875</c:v>
                </c:pt>
                <c:pt idx="57">
                  <c:v>-548.12432861328125</c:v>
                </c:pt>
                <c:pt idx="58">
                  <c:v>-552.8927001953125</c:v>
                </c:pt>
                <c:pt idx="59">
                  <c:v>-568.1514892578125</c:v>
                </c:pt>
                <c:pt idx="60">
                  <c:v>-588.17864990234375</c:v>
                </c:pt>
                <c:pt idx="61">
                  <c:v>-611.54364013671875</c:v>
                </c:pt>
                <c:pt idx="62">
                  <c:v>-633.006103515625</c:v>
                </c:pt>
                <c:pt idx="63">
                  <c:v>-649.21856689453125</c:v>
                </c:pt>
                <c:pt idx="64">
                  <c:v>-664.00048828125</c:v>
                </c:pt>
                <c:pt idx="65">
                  <c:v>-675.444580078125</c:v>
                </c:pt>
                <c:pt idx="66">
                  <c:v>-686.888671875</c:v>
                </c:pt>
                <c:pt idx="67">
                  <c:v>-698.80963134765625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8A0-4909-BE9A-CF5A77C39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99902725219726563"/>
          <c:min val="-0.7000417709350585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layout/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0617027387949218"/>
          <c:h val="0.29559071678364435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</a:t>
            </a:r>
            <a:r>
              <a:rPr lang="en-US" baseline="0"/>
              <a:t> Vs I @ 0.14949V </a:t>
            </a:r>
          </a:p>
          <a:p>
            <a:pPr>
              <a:defRPr/>
            </a:pPr>
            <a:r>
              <a:rPr lang="en-US" baseline="0"/>
              <a:t>Pd@C</a:t>
            </a:r>
          </a:p>
          <a:p>
            <a:pPr>
              <a:defRPr/>
            </a:pPr>
            <a:r>
              <a:rPr lang="en-US" baseline="0"/>
              <a:t>Oxidation Peak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Sheet1!$M$28:$M$32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Sheet1!$N$28:$N$32</c:f>
              <c:numCache>
                <c:formatCode>General</c:formatCode>
                <c:ptCount val="5"/>
                <c:pt idx="0">
                  <c:v>378.37030029296875</c:v>
                </c:pt>
                <c:pt idx="1">
                  <c:v>390.29119873046875</c:v>
                </c:pt>
                <c:pt idx="2">
                  <c:v>425.100341796875</c:v>
                </c:pt>
                <c:pt idx="3">
                  <c:v>458.47894287109375</c:v>
                </c:pt>
                <c:pt idx="4">
                  <c:v>521.89825439453125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86-49ED-9C44-B4223F6E1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178303"/>
        <c:axId val="1068182463"/>
      </c:scatterChart>
      <c:valAx>
        <c:axId val="106817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FeCN Conc (ml)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182463"/>
        <c:crosses val="autoZero"/>
        <c:crossBetween val="midCat"/>
      </c:valAx>
      <c:valAx>
        <c:axId val="106818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  (uA)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17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226060</xdr:colOff>
      <xdr:row>3</xdr:row>
      <xdr:rowOff>27940</xdr:rowOff>
    </xdr:from>
    <xdr:to>
      <xdr:col>22</xdr:col>
      <xdr:colOff>530860</xdr:colOff>
      <xdr:row>23</xdr:row>
      <xdr:rowOff>180340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381000</xdr:colOff>
      <xdr:row>25</xdr:row>
      <xdr:rowOff>132962</xdr:rowOff>
    </xdr:from>
    <xdr:to>
      <xdr:col>22</xdr:col>
      <xdr:colOff>101081</xdr:colOff>
      <xdr:row>40</xdr:row>
      <xdr:rowOff>76978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abSelected="1" zoomScale="98" workbookViewId="0">
      <selection activeCell="N37" sqref="N37"/>
    </sheetView>
  </sheetViews>
  <sheetFormatPr defaultRowHeight="14.4" x14ac:dyDescent="0.3"/>
  <sheetData>
    <row r="1" spans="1:10" x14ac:dyDescent="0.3">
      <c r="A1" t="s">
        <v>0</v>
      </c>
      <c r="C1" t="s">
        <v>0</v>
      </c>
      <c r="E1" t="s">
        <v>0</v>
      </c>
      <c r="G1" t="s">
        <v>0</v>
      </c>
      <c r="I1" t="s">
        <v>0</v>
      </c>
    </row>
    <row r="2" spans="1:10" x14ac:dyDescent="0.3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</row>
    <row r="3" spans="1:10" x14ac:dyDescent="0.3">
      <c r="A3">
        <v>-0.70004177093505859</v>
      </c>
      <c r="B3">
        <v>-96.559524536132813</v>
      </c>
      <c r="C3">
        <v>-0.70004177093505859</v>
      </c>
      <c r="D3">
        <v>-146.15058898925781</v>
      </c>
      <c r="E3">
        <v>-0.70004177093505859</v>
      </c>
      <c r="F3">
        <v>-168.08509826660156</v>
      </c>
      <c r="G3">
        <v>-0.70004177093505859</v>
      </c>
      <c r="H3">
        <v>-182.86705017089844</v>
      </c>
      <c r="I3">
        <v>-0.70004177093505859</v>
      </c>
      <c r="J3">
        <v>-193.83430480957031</v>
      </c>
    </row>
    <row r="4" spans="1:10" x14ac:dyDescent="0.3">
      <c r="A4">
        <v>-0.65004158020019531</v>
      </c>
      <c r="B4">
        <v>79.393386840820313</v>
      </c>
      <c r="C4">
        <v>-0.65004158020019531</v>
      </c>
      <c r="D4">
        <v>37.908554077148438</v>
      </c>
      <c r="E4">
        <v>-0.65004158020019531</v>
      </c>
      <c r="F4">
        <v>18.835067749023438</v>
      </c>
      <c r="G4">
        <v>-0.65004158020019531</v>
      </c>
      <c r="H4">
        <v>4.0531158447265625</v>
      </c>
      <c r="I4">
        <v>-0.65004158020019531</v>
      </c>
      <c r="J4">
        <v>-5.0067901611328125</v>
      </c>
    </row>
    <row r="5" spans="1:10" x14ac:dyDescent="0.3">
      <c r="A5">
        <v>-0.60011959075927734</v>
      </c>
      <c r="B5">
        <v>155.68733215332031</v>
      </c>
      <c r="C5">
        <v>-0.60011959075927734</v>
      </c>
      <c r="D5">
        <v>118.97087097167969</v>
      </c>
      <c r="E5">
        <v>-0.60011959075927734</v>
      </c>
      <c r="F5">
        <v>102.75840759277344</v>
      </c>
      <c r="G5">
        <v>-0.60011959075927734</v>
      </c>
      <c r="H5">
        <v>87.499618530273438</v>
      </c>
      <c r="I5">
        <v>-0.60011959075927734</v>
      </c>
      <c r="J5">
        <v>79.870223999023438</v>
      </c>
    </row>
    <row r="6" spans="1:10" x14ac:dyDescent="0.3">
      <c r="A6">
        <v>-0.55011940002441406</v>
      </c>
      <c r="B6">
        <v>202.41737365722656</v>
      </c>
      <c r="C6">
        <v>-0.55011940002441406</v>
      </c>
      <c r="D6">
        <v>169.03877258300781</v>
      </c>
      <c r="E6">
        <v>-0.55011940002441406</v>
      </c>
      <c r="F6">
        <v>154.25682067871094</v>
      </c>
      <c r="G6">
        <v>-0.55011940002441406</v>
      </c>
      <c r="H6">
        <v>139.47486877441406</v>
      </c>
      <c r="I6">
        <v>-0.55011940002441406</v>
      </c>
      <c r="J6">
        <v>132.79914855957031</v>
      </c>
    </row>
    <row r="7" spans="1:10" x14ac:dyDescent="0.3">
      <c r="A7">
        <v>-0.50011920928955078</v>
      </c>
      <c r="B7">
        <v>236.27281188964844</v>
      </c>
      <c r="C7">
        <v>-0.50011920928955078</v>
      </c>
      <c r="D7">
        <v>205.27839660644531</v>
      </c>
      <c r="E7">
        <v>-0.50011920928955078</v>
      </c>
      <c r="F7">
        <v>192.40379333496094</v>
      </c>
      <c r="G7">
        <v>-0.50011920928955078</v>
      </c>
      <c r="H7">
        <v>177.62184143066406</v>
      </c>
      <c r="I7">
        <v>-0.50011920928955078</v>
      </c>
      <c r="J7">
        <v>171.42295837402344</v>
      </c>
    </row>
    <row r="8" spans="1:10" x14ac:dyDescent="0.3">
      <c r="A8">
        <v>-0.45019721984863281</v>
      </c>
      <c r="B8">
        <v>262.49884033203125</v>
      </c>
      <c r="C8">
        <v>-0.45019721984863281</v>
      </c>
      <c r="D8">
        <v>233.88862609863281</v>
      </c>
      <c r="E8">
        <v>-0.45019721984863281</v>
      </c>
      <c r="F8">
        <v>221.96769714355469</v>
      </c>
      <c r="G8">
        <v>-0.45019721984863281</v>
      </c>
      <c r="H8">
        <v>207.18574523925781</v>
      </c>
      <c r="I8">
        <v>-0.45019721984863281</v>
      </c>
      <c r="J8">
        <v>201.94053649902344</v>
      </c>
    </row>
    <row r="9" spans="1:10" x14ac:dyDescent="0.3">
      <c r="A9">
        <v>-0.40019702911376953</v>
      </c>
      <c r="B9">
        <v>283.00286865234375</v>
      </c>
      <c r="C9">
        <v>-0.40019702911376953</v>
      </c>
      <c r="D9">
        <v>256.77679443359375</v>
      </c>
      <c r="E9">
        <v>-0.40019702911376953</v>
      </c>
      <c r="F9">
        <v>245.33271789550781</v>
      </c>
      <c r="G9">
        <v>-0.40019702911376953</v>
      </c>
      <c r="H9">
        <v>231.50444030761719</v>
      </c>
      <c r="I9">
        <v>-0.40019702911376953</v>
      </c>
      <c r="J9">
        <v>225.78239440917969</v>
      </c>
    </row>
    <row r="10" spans="1:10" x14ac:dyDescent="0.3">
      <c r="A10">
        <v>-0.35019683837890625</v>
      </c>
      <c r="B10">
        <v>300.64581298828125</v>
      </c>
      <c r="C10">
        <v>-0.35019683837890625</v>
      </c>
      <c r="D10">
        <v>275.85028076171875</v>
      </c>
      <c r="E10">
        <v>-0.35019683837890625</v>
      </c>
      <c r="F10">
        <v>264.883056640625</v>
      </c>
      <c r="G10">
        <v>-0.35019683837890625</v>
      </c>
      <c r="H10">
        <v>251.53160095214844</v>
      </c>
      <c r="I10">
        <v>-0.35019683837890625</v>
      </c>
      <c r="J10">
        <v>245.33271789550781</v>
      </c>
    </row>
    <row r="11" spans="1:10" x14ac:dyDescent="0.3">
      <c r="A11">
        <v>-0.30027484893798828</v>
      </c>
      <c r="B11">
        <v>313.99725341796875</v>
      </c>
      <c r="C11">
        <v>-0.30027484893798828</v>
      </c>
      <c r="D11">
        <v>291.10906982421875</v>
      </c>
      <c r="E11">
        <v>-0.30027484893798828</v>
      </c>
      <c r="F11">
        <v>280.141845703125</v>
      </c>
      <c r="G11">
        <v>-0.30027484893798828</v>
      </c>
      <c r="H11">
        <v>267.2672119140625</v>
      </c>
      <c r="I11">
        <v>-0.30027484893798828</v>
      </c>
      <c r="J11">
        <v>260.59149169921875</v>
      </c>
    </row>
    <row r="12" spans="1:10" x14ac:dyDescent="0.3">
      <c r="A12">
        <v>-0.250274658203125</v>
      </c>
      <c r="B12">
        <v>324.0108642578125</v>
      </c>
      <c r="C12">
        <v>-0.250274658203125</v>
      </c>
      <c r="D12">
        <v>303.030029296875</v>
      </c>
      <c r="E12">
        <v>-0.250274658203125</v>
      </c>
      <c r="F12">
        <v>291.10906982421875</v>
      </c>
      <c r="G12">
        <v>-0.250274658203125</v>
      </c>
      <c r="H12">
        <v>278.7113037109375</v>
      </c>
      <c r="I12">
        <v>-0.250274658203125</v>
      </c>
      <c r="J12">
        <v>271.0819091796875</v>
      </c>
    </row>
    <row r="13" spans="1:10" x14ac:dyDescent="0.3">
      <c r="A13">
        <v>-0.20027446746826172</v>
      </c>
      <c r="B13">
        <v>333.07073974609375</v>
      </c>
      <c r="C13">
        <v>-0.20027446746826172</v>
      </c>
      <c r="D13">
        <v>313.99725341796875</v>
      </c>
      <c r="E13">
        <v>-0.20027446746826172</v>
      </c>
      <c r="F13">
        <v>298.73846435546875</v>
      </c>
      <c r="G13">
        <v>-0.20027446746826172</v>
      </c>
      <c r="H13">
        <v>287.29437255859375</v>
      </c>
      <c r="I13">
        <v>-0.20027446746826172</v>
      </c>
      <c r="J13">
        <v>277.28082275390625</v>
      </c>
    </row>
    <row r="14" spans="1:10" x14ac:dyDescent="0.3">
      <c r="A14">
        <v>-0.15035247802734375</v>
      </c>
      <c r="B14">
        <v>338.79278564453125</v>
      </c>
      <c r="C14">
        <v>-0.15035247802734375</v>
      </c>
      <c r="D14">
        <v>318.288818359375</v>
      </c>
      <c r="E14">
        <v>-0.15035247802734375</v>
      </c>
      <c r="F14">
        <v>300.16900634765625</v>
      </c>
      <c r="G14">
        <v>-0.15035247802734375</v>
      </c>
      <c r="H14">
        <v>290.1553955078125</v>
      </c>
      <c r="I14">
        <v>-0.15035247802734375</v>
      </c>
      <c r="J14">
        <v>275.37347412109375</v>
      </c>
    </row>
    <row r="15" spans="1:10" x14ac:dyDescent="0.3">
      <c r="A15">
        <v>-0.10035228729248047</v>
      </c>
      <c r="B15">
        <v>341.65380859375</v>
      </c>
      <c r="C15">
        <v>-0.10035228729248047</v>
      </c>
      <c r="D15">
        <v>318.288818359375</v>
      </c>
      <c r="E15">
        <v>-0.10035228729248047</v>
      </c>
      <c r="F15">
        <v>295.87744140625</v>
      </c>
      <c r="G15">
        <v>-0.10035228729248047</v>
      </c>
      <c r="H15">
        <v>287.29437255859375</v>
      </c>
      <c r="I15">
        <v>-0.10035228729248047</v>
      </c>
      <c r="J15">
        <v>268.69775390625</v>
      </c>
    </row>
    <row r="16" spans="1:10" x14ac:dyDescent="0.3">
      <c r="A16">
        <v>-5.04302978515625E-2</v>
      </c>
      <c r="B16">
        <v>340.70013427734375</v>
      </c>
      <c r="C16">
        <v>-5.04302978515625E-2</v>
      </c>
      <c r="D16">
        <v>314.950927734375</v>
      </c>
      <c r="E16">
        <v>-5.04302978515625E-2</v>
      </c>
      <c r="F16">
        <v>289.20172119140625</v>
      </c>
      <c r="G16">
        <v>-5.04302978515625E-2</v>
      </c>
      <c r="H16">
        <v>281.09552001953125</v>
      </c>
      <c r="I16">
        <v>-5.04302978515625E-2</v>
      </c>
      <c r="J16">
        <v>262.02203369140625</v>
      </c>
    </row>
    <row r="17" spans="1:14" x14ac:dyDescent="0.3">
      <c r="A17">
        <v>-4.3010711669921875E-4</v>
      </c>
      <c r="B17">
        <v>338.31597900390625</v>
      </c>
      <c r="C17">
        <v>-4.3010711669921875E-4</v>
      </c>
      <c r="D17">
        <v>310.18255615234375</v>
      </c>
      <c r="E17">
        <v>-4.3010711669921875E-4</v>
      </c>
      <c r="F17">
        <v>284.433349609375</v>
      </c>
      <c r="G17">
        <v>-4.3010711669921875E-4</v>
      </c>
      <c r="H17">
        <v>277.28082275390625</v>
      </c>
      <c r="I17">
        <v>-4.3010711669921875E-4</v>
      </c>
      <c r="J17">
        <v>263.4525146484375</v>
      </c>
    </row>
    <row r="18" spans="1:14" x14ac:dyDescent="0.3">
      <c r="A18">
        <v>4.9570083618164063E-2</v>
      </c>
      <c r="B18">
        <v>336.88543701171875</v>
      </c>
      <c r="C18">
        <v>4.9570083618164063E-2</v>
      </c>
      <c r="D18">
        <v>310.18255615234375</v>
      </c>
      <c r="E18">
        <v>4.9570083618164063E-2</v>
      </c>
      <c r="F18">
        <v>289.6785888671875</v>
      </c>
      <c r="G18">
        <v>4.9570083618164063E-2</v>
      </c>
      <c r="H18">
        <v>286.81756591796875</v>
      </c>
      <c r="I18">
        <v>4.9570083618164063E-2</v>
      </c>
      <c r="J18">
        <v>292.062744140625</v>
      </c>
    </row>
    <row r="19" spans="1:14" x14ac:dyDescent="0.3">
      <c r="A19">
        <v>9.9493026733398438E-2</v>
      </c>
      <c r="B19">
        <v>345.468505859375</v>
      </c>
      <c r="C19">
        <v>9.9493026733398438E-2</v>
      </c>
      <c r="D19">
        <v>328.77923583984375</v>
      </c>
      <c r="E19">
        <v>9.9493026733398438E-2</v>
      </c>
      <c r="F19">
        <v>331.6402587890625</v>
      </c>
      <c r="G19">
        <v>9.9493026733398438E-2</v>
      </c>
      <c r="H19">
        <v>342.13067626953125</v>
      </c>
      <c r="I19">
        <v>9.9493026733398438E-2</v>
      </c>
      <c r="J19">
        <v>394.10589599609375</v>
      </c>
    </row>
    <row r="20" spans="1:14" x14ac:dyDescent="0.3">
      <c r="A20">
        <v>0.149493217468262</v>
      </c>
      <c r="B20">
        <v>378.37030029296875</v>
      </c>
      <c r="C20">
        <v>0.14949321746826172</v>
      </c>
      <c r="D20">
        <v>390.29119873046875</v>
      </c>
      <c r="E20">
        <v>0.14949321746826172</v>
      </c>
      <c r="F20">
        <v>425.100341796875</v>
      </c>
      <c r="G20">
        <v>0.14949321746826172</v>
      </c>
      <c r="H20">
        <v>458.47894287109375</v>
      </c>
      <c r="I20">
        <v>0.14949321746826172</v>
      </c>
      <c r="J20">
        <v>521.89825439453125</v>
      </c>
    </row>
    <row r="21" spans="1:14" x14ac:dyDescent="0.3">
      <c r="A21">
        <v>0.199493408203125</v>
      </c>
      <c r="B21">
        <v>410.318359375</v>
      </c>
      <c r="C21">
        <v>0.199493408203125</v>
      </c>
      <c r="D21">
        <v>444.173828125</v>
      </c>
      <c r="E21">
        <v>0.199493408203125</v>
      </c>
      <c r="F21">
        <v>474.21453857421875</v>
      </c>
      <c r="G21">
        <v>0.199493408203125</v>
      </c>
      <c r="H21">
        <v>521.89825439453125</v>
      </c>
      <c r="I21">
        <v>0.199493408203125</v>
      </c>
      <c r="J21">
        <v>552.41583251953125</v>
      </c>
    </row>
    <row r="22" spans="1:14" x14ac:dyDescent="0.3">
      <c r="A22">
        <v>0.24941539764404297</v>
      </c>
      <c r="B22">
        <v>417.94775390625</v>
      </c>
      <c r="C22">
        <v>0.24941539764404297</v>
      </c>
      <c r="D22">
        <v>448.94219970703125</v>
      </c>
      <c r="E22">
        <v>0.24941539764404297</v>
      </c>
      <c r="F22">
        <v>469.92303466796875</v>
      </c>
      <c r="G22">
        <v>0.24941539764404297</v>
      </c>
      <c r="H22">
        <v>514.26885986328125</v>
      </c>
      <c r="I22">
        <v>0.24941539764404297</v>
      </c>
      <c r="J22">
        <v>537.15704345703125</v>
      </c>
    </row>
    <row r="23" spans="1:14" x14ac:dyDescent="0.3">
      <c r="A23">
        <v>0.29941558837890625</v>
      </c>
      <c r="B23">
        <v>427.0076904296875</v>
      </c>
      <c r="C23">
        <v>0.29941558837890625</v>
      </c>
      <c r="D23">
        <v>451.32635498046875</v>
      </c>
      <c r="E23">
        <v>0.29941558837890625</v>
      </c>
      <c r="F23">
        <v>469.92303466796875</v>
      </c>
      <c r="G23">
        <v>0.29941558837890625</v>
      </c>
      <c r="H23">
        <v>508.07000732421875</v>
      </c>
      <c r="I23">
        <v>0.29941558837890625</v>
      </c>
      <c r="J23">
        <v>533.8192138671875</v>
      </c>
    </row>
    <row r="24" spans="1:14" x14ac:dyDescent="0.3">
      <c r="A24">
        <v>0.34941577911376953</v>
      </c>
      <c r="B24">
        <v>447.51165771484375</v>
      </c>
      <c r="C24">
        <v>0.34941577911376953</v>
      </c>
      <c r="D24">
        <v>464.67779541015625</v>
      </c>
      <c r="E24">
        <v>0.34941577911376953</v>
      </c>
      <c r="F24">
        <v>483.27447509765625</v>
      </c>
      <c r="G24">
        <v>0.34941577911376953</v>
      </c>
      <c r="H24">
        <v>516.653076171875</v>
      </c>
      <c r="I24">
        <v>0.34941577911376953</v>
      </c>
      <c r="J24">
        <v>547.170654296875</v>
      </c>
    </row>
    <row r="25" spans="1:14" x14ac:dyDescent="0.3">
      <c r="A25">
        <v>0.3993377685546875</v>
      </c>
      <c r="B25">
        <v>478.98291015625</v>
      </c>
      <c r="C25">
        <v>0.3993377685546875</v>
      </c>
      <c r="D25">
        <v>488.5196533203125</v>
      </c>
      <c r="E25">
        <v>0.3993377685546875</v>
      </c>
      <c r="F25">
        <v>508.54681396484375</v>
      </c>
      <c r="G25">
        <v>0.3993377685546875</v>
      </c>
      <c r="H25">
        <v>537.15704345703125</v>
      </c>
      <c r="I25">
        <v>0.3993377685546875</v>
      </c>
      <c r="J25">
        <v>568.1514892578125</v>
      </c>
    </row>
    <row r="26" spans="1:14" x14ac:dyDescent="0.3">
      <c r="A26">
        <v>0.44933795928955078</v>
      </c>
      <c r="B26">
        <v>515.2225341796875</v>
      </c>
      <c r="C26">
        <v>0.44933795928955078</v>
      </c>
      <c r="D26">
        <v>516.17620849609375</v>
      </c>
      <c r="E26">
        <v>0.44933795928955078</v>
      </c>
      <c r="F26">
        <v>536.203369140625</v>
      </c>
      <c r="G26">
        <v>0.44933795928955078</v>
      </c>
      <c r="H26">
        <v>559.56842041015625</v>
      </c>
      <c r="I26">
        <v>0.44933795928955078</v>
      </c>
      <c r="J26">
        <v>591.0396728515625</v>
      </c>
      <c r="L26" t="s">
        <v>4</v>
      </c>
      <c r="M26" t="s">
        <v>6</v>
      </c>
      <c r="N26" t="s">
        <v>5</v>
      </c>
    </row>
    <row r="27" spans="1:14" x14ac:dyDescent="0.3">
      <c r="A27">
        <v>0.49933815002441406</v>
      </c>
      <c r="B27">
        <v>550.9853515625</v>
      </c>
      <c r="C27">
        <v>0.49933815002441406</v>
      </c>
      <c r="D27">
        <v>548.60113525390625</v>
      </c>
      <c r="E27">
        <v>0.49933815002441406</v>
      </c>
      <c r="F27">
        <v>567.67462158203125</v>
      </c>
      <c r="G27">
        <v>0.49933815002441406</v>
      </c>
      <c r="H27">
        <v>587.2249755859375</v>
      </c>
      <c r="I27">
        <v>0.49933815002441406</v>
      </c>
      <c r="J27">
        <v>617.26568603515625</v>
      </c>
      <c r="M27" t="s">
        <v>3</v>
      </c>
      <c r="N27" t="s">
        <v>7</v>
      </c>
    </row>
    <row r="28" spans="1:14" x14ac:dyDescent="0.3">
      <c r="A28">
        <v>0.54926013946533203</v>
      </c>
      <c r="B28">
        <v>586.27130126953125</v>
      </c>
      <c r="C28">
        <v>0.54926013946533203</v>
      </c>
      <c r="D28">
        <v>581.979736328125</v>
      </c>
      <c r="E28">
        <v>0.54926013946533203</v>
      </c>
      <c r="F28">
        <v>599.62274169921875</v>
      </c>
      <c r="G28">
        <v>0.54926013946533203</v>
      </c>
      <c r="H28">
        <v>614.88153076171875</v>
      </c>
      <c r="I28">
        <v>0.54926013946533203</v>
      </c>
      <c r="J28">
        <v>643.0196533203125</v>
      </c>
      <c r="M28">
        <f>1</f>
        <v>1</v>
      </c>
      <c r="N28">
        <f>B20</f>
        <v>378.37030029296875</v>
      </c>
    </row>
    <row r="29" spans="1:14" x14ac:dyDescent="0.3">
      <c r="A29">
        <v>0.59926033020019531</v>
      </c>
      <c r="B29">
        <v>618.2193603515625</v>
      </c>
      <c r="C29">
        <v>0.59926033020019531</v>
      </c>
      <c r="D29">
        <v>613.45098876953125</v>
      </c>
      <c r="E29">
        <v>0.59926033020019531</v>
      </c>
      <c r="F29">
        <v>630.14508056640625</v>
      </c>
      <c r="G29">
        <v>0.59926033020019531</v>
      </c>
      <c r="H29">
        <v>643.0196533203125</v>
      </c>
      <c r="I29">
        <v>0.59926033020019531</v>
      </c>
      <c r="J29">
        <v>670.67620849609375</v>
      </c>
      <c r="M29">
        <f>2</f>
        <v>2</v>
      </c>
      <c r="N29">
        <f>D20</f>
        <v>390.29119873046875</v>
      </c>
    </row>
    <row r="30" spans="1:14" x14ac:dyDescent="0.3">
      <c r="A30">
        <v>0.64926052093505859</v>
      </c>
      <c r="B30">
        <v>653.03326416015625</v>
      </c>
      <c r="C30">
        <v>0.64926052093505859</v>
      </c>
      <c r="D30">
        <v>646.3575439453125</v>
      </c>
      <c r="E30">
        <v>0.64926052093505859</v>
      </c>
      <c r="F30">
        <v>664.00048828125</v>
      </c>
      <c r="G30">
        <v>0.64926052093505859</v>
      </c>
      <c r="H30">
        <v>671.6298828125</v>
      </c>
      <c r="I30">
        <v>0.64926052093505859</v>
      </c>
      <c r="J30">
        <v>698.80963134765625</v>
      </c>
      <c r="M30">
        <f>3</f>
        <v>3</v>
      </c>
      <c r="N30">
        <f>F20</f>
        <v>425.100341796875</v>
      </c>
    </row>
    <row r="31" spans="1:14" x14ac:dyDescent="0.3">
      <c r="A31">
        <v>0.69918251037597656</v>
      </c>
      <c r="B31">
        <v>688.7960205078125</v>
      </c>
      <c r="C31">
        <v>0.69918251037597656</v>
      </c>
      <c r="D31">
        <v>679.73614501953125</v>
      </c>
      <c r="E31">
        <v>0.69918251037597656</v>
      </c>
      <c r="F31">
        <v>697.37908935546875</v>
      </c>
      <c r="G31">
        <v>0.69918251037597656</v>
      </c>
      <c r="H31">
        <v>701.670654296875</v>
      </c>
      <c r="I31">
        <v>0.69918251037597656</v>
      </c>
      <c r="J31">
        <v>730.2808837890625</v>
      </c>
      <c r="M31">
        <f>4</f>
        <v>4</v>
      </c>
      <c r="N31">
        <f>H20</f>
        <v>458.47894287109375</v>
      </c>
    </row>
    <row r="32" spans="1:14" x14ac:dyDescent="0.3">
      <c r="A32">
        <v>0.74918270111083984</v>
      </c>
      <c r="B32">
        <v>732.188232421875</v>
      </c>
      <c r="C32">
        <v>0.74918270111083984</v>
      </c>
      <c r="D32">
        <v>719.79046630859375</v>
      </c>
      <c r="E32">
        <v>0.74918270111083984</v>
      </c>
      <c r="F32">
        <v>739.34075927734375</v>
      </c>
      <c r="G32">
        <v>0.74918270111083984</v>
      </c>
      <c r="H32">
        <v>740.77130126953125</v>
      </c>
      <c r="I32">
        <v>0.74918270111083984</v>
      </c>
      <c r="J32">
        <v>774.14990234375</v>
      </c>
      <c r="M32">
        <f>5</f>
        <v>5</v>
      </c>
      <c r="N32">
        <f>J20</f>
        <v>521.89825439453125</v>
      </c>
    </row>
    <row r="33" spans="1:10" x14ac:dyDescent="0.3">
      <c r="A33">
        <v>0.79918289184570313</v>
      </c>
      <c r="B33">
        <v>794.65386962890625</v>
      </c>
      <c r="C33">
        <v>0.79918289184570313</v>
      </c>
      <c r="D33">
        <v>776.5340576171875</v>
      </c>
      <c r="E33">
        <v>0.79918289184570313</v>
      </c>
      <c r="F33">
        <v>797.0380859375</v>
      </c>
      <c r="G33">
        <v>0.79918289184570313</v>
      </c>
      <c r="H33">
        <v>795.6075439453125</v>
      </c>
      <c r="I33">
        <v>0.79918289184570313</v>
      </c>
      <c r="J33">
        <v>831.370361328125</v>
      </c>
    </row>
    <row r="34" spans="1:10" x14ac:dyDescent="0.3">
      <c r="A34">
        <v>0.84910488128662109</v>
      </c>
      <c r="B34">
        <v>877.146728515625</v>
      </c>
      <c r="C34">
        <v>0.84910488128662109</v>
      </c>
      <c r="D34">
        <v>851.87432861328125</v>
      </c>
      <c r="E34">
        <v>0.84910488128662109</v>
      </c>
      <c r="F34">
        <v>871.4246826171875</v>
      </c>
      <c r="G34">
        <v>0.84910488128662109</v>
      </c>
      <c r="H34">
        <v>868.0867919921875</v>
      </c>
      <c r="I34">
        <v>0.84910488128662109</v>
      </c>
      <c r="J34">
        <v>905.28009033203125</v>
      </c>
    </row>
    <row r="35" spans="1:10" x14ac:dyDescent="0.3">
      <c r="A35">
        <v>0.89910507202148438</v>
      </c>
      <c r="B35">
        <v>986.3424072265625</v>
      </c>
      <c r="C35">
        <v>0.89910507202148438</v>
      </c>
      <c r="D35">
        <v>955.3480224609375</v>
      </c>
      <c r="E35">
        <v>0.89910507202148438</v>
      </c>
      <c r="F35">
        <v>976.328857421875</v>
      </c>
      <c r="G35">
        <v>0.89910507202148438</v>
      </c>
      <c r="H35">
        <v>967.2689208984375</v>
      </c>
      <c r="I35">
        <v>0.89910507202148438</v>
      </c>
      <c r="J35">
        <v>1012.0916137695313</v>
      </c>
    </row>
    <row r="36" spans="1:10" x14ac:dyDescent="0.3">
      <c r="A36">
        <v>0.94902706146240234</v>
      </c>
      <c r="B36">
        <v>1133.68505859375</v>
      </c>
      <c r="C36">
        <v>0.94902706146240234</v>
      </c>
      <c r="D36">
        <v>1101.2601318359375</v>
      </c>
      <c r="E36">
        <v>0.94902706146240234</v>
      </c>
      <c r="F36">
        <v>1129.870361328125</v>
      </c>
      <c r="G36">
        <v>0.94902706146240234</v>
      </c>
      <c r="H36">
        <v>1113.18115234375</v>
      </c>
      <c r="I36">
        <v>0.94902706146240234</v>
      </c>
      <c r="J36">
        <v>1172.3089599609375</v>
      </c>
    </row>
    <row r="37" spans="1:10" x14ac:dyDescent="0.3">
      <c r="A37">
        <v>0.99902725219726563</v>
      </c>
      <c r="B37">
        <v>1332.5262451171875</v>
      </c>
      <c r="C37">
        <v>0.99902725219726563</v>
      </c>
      <c r="D37">
        <v>1308.20751953125</v>
      </c>
      <c r="E37">
        <v>0.99902725219726563</v>
      </c>
      <c r="F37">
        <v>1357.32177734375</v>
      </c>
      <c r="G37">
        <v>0.99902725219726563</v>
      </c>
      <c r="H37">
        <v>1334.43359375</v>
      </c>
      <c r="I37">
        <v>0.99902725219726563</v>
      </c>
      <c r="J37">
        <v>1426.93994140625</v>
      </c>
    </row>
    <row r="38" spans="1:10" x14ac:dyDescent="0.3">
      <c r="A38">
        <v>0.94902706146240234</v>
      </c>
      <c r="B38">
        <v>586.27130126953125</v>
      </c>
      <c r="C38">
        <v>0.94902706146240234</v>
      </c>
      <c r="D38">
        <v>587.7017822265625</v>
      </c>
      <c r="E38">
        <v>0.94902706146240234</v>
      </c>
      <c r="F38">
        <v>627.2840576171875</v>
      </c>
      <c r="G38">
        <v>0.94902706146240234</v>
      </c>
      <c r="H38">
        <v>623.94140625</v>
      </c>
      <c r="I38">
        <v>0.94902706146240234</v>
      </c>
      <c r="J38">
        <v>695.47174072265625</v>
      </c>
    </row>
    <row r="39" spans="1:10" x14ac:dyDescent="0.3">
      <c r="A39">
        <v>0.89910507202148438</v>
      </c>
      <c r="B39">
        <v>203.37104797363281</v>
      </c>
      <c r="C39">
        <v>0.89910507202148438</v>
      </c>
      <c r="D39">
        <v>215.76881408691406</v>
      </c>
      <c r="E39">
        <v>0.89910507202148438</v>
      </c>
      <c r="F39">
        <v>243.42536926269531</v>
      </c>
      <c r="G39">
        <v>0.89910507202148438</v>
      </c>
      <c r="H39">
        <v>250.57792663574219</v>
      </c>
      <c r="I39">
        <v>0.89910507202148438</v>
      </c>
      <c r="J39">
        <v>293.4932861328125</v>
      </c>
    </row>
    <row r="40" spans="1:10" x14ac:dyDescent="0.3">
      <c r="A40">
        <v>0.84910488128662109</v>
      </c>
      <c r="B40">
        <v>-6.4373016357421875</v>
      </c>
      <c r="C40">
        <v>0.84910488128662109</v>
      </c>
      <c r="D40">
        <v>9.7751617431640625</v>
      </c>
      <c r="E40">
        <v>0.84910488128662109</v>
      </c>
      <c r="F40">
        <v>31.709671020507813</v>
      </c>
      <c r="G40">
        <v>0.84910488128662109</v>
      </c>
      <c r="H40">
        <v>43.630599975585938</v>
      </c>
      <c r="I40">
        <v>0.84910488128662109</v>
      </c>
      <c r="J40">
        <v>72.240829467773438</v>
      </c>
    </row>
    <row r="41" spans="1:10" x14ac:dyDescent="0.3">
      <c r="A41">
        <v>0.79918289184570313</v>
      </c>
      <c r="B41">
        <v>-131.36863708496094</v>
      </c>
      <c r="C41">
        <v>0.79918289184570313</v>
      </c>
      <c r="D41">
        <v>-113.24882507324219</v>
      </c>
      <c r="E41">
        <v>0.79918289184570313</v>
      </c>
      <c r="F41">
        <v>-95.605850219726563</v>
      </c>
      <c r="G41">
        <v>0.79918289184570313</v>
      </c>
      <c r="H41">
        <v>-81.300735473632813</v>
      </c>
      <c r="I41">
        <v>0.79918289184570313</v>
      </c>
      <c r="J41">
        <v>-60.796737670898438</v>
      </c>
    </row>
    <row r="42" spans="1:10" x14ac:dyDescent="0.3">
      <c r="A42">
        <v>0.74918270111083984</v>
      </c>
      <c r="B42">
        <v>-211.00044250488281</v>
      </c>
      <c r="C42">
        <v>0.74918270111083984</v>
      </c>
      <c r="D42">
        <v>-192.40379333496094</v>
      </c>
      <c r="E42">
        <v>0.74918270111083984</v>
      </c>
      <c r="F42">
        <v>-177.14500427246094</v>
      </c>
      <c r="G42">
        <v>0.74918270111083984</v>
      </c>
      <c r="H42">
        <v>-162.36305236816406</v>
      </c>
      <c r="I42">
        <v>0.74918270111083984</v>
      </c>
      <c r="J42">
        <v>-147.10426330566406</v>
      </c>
    </row>
    <row r="43" spans="1:10" x14ac:dyDescent="0.3">
      <c r="A43">
        <v>0.69918251037597656</v>
      </c>
      <c r="B43">
        <v>-262.02203369140625</v>
      </c>
      <c r="C43">
        <v>0.69918251037597656</v>
      </c>
      <c r="D43">
        <v>-243.42536926269531</v>
      </c>
      <c r="E43">
        <v>0.69918251037597656</v>
      </c>
      <c r="F43">
        <v>-232.45811462402344</v>
      </c>
      <c r="G43">
        <v>0.69918251037597656</v>
      </c>
      <c r="H43">
        <v>-217.19932556152344</v>
      </c>
      <c r="I43">
        <v>0.69918251037597656</v>
      </c>
      <c r="J43">
        <v>-206.70890808105469</v>
      </c>
    </row>
    <row r="44" spans="1:10" x14ac:dyDescent="0.3">
      <c r="A44">
        <v>0.64926052093505859</v>
      </c>
      <c r="B44">
        <v>-298.26165771484375</v>
      </c>
      <c r="C44">
        <v>0.64926052093505859</v>
      </c>
      <c r="D44">
        <v>-280.141845703125</v>
      </c>
      <c r="E44">
        <v>0.64926052093505859</v>
      </c>
      <c r="F44">
        <v>-269.65142822265625</v>
      </c>
      <c r="G44">
        <v>0.64926052093505859</v>
      </c>
      <c r="H44">
        <v>-254.39262390136719</v>
      </c>
      <c r="I44">
        <v>0.64926052093505859</v>
      </c>
      <c r="J44">
        <v>-246.76322937011719</v>
      </c>
    </row>
    <row r="45" spans="1:10" x14ac:dyDescent="0.3">
      <c r="A45">
        <v>0.59926033020019531</v>
      </c>
      <c r="B45">
        <v>-328.3023681640625</v>
      </c>
      <c r="C45">
        <v>0.59926033020019531</v>
      </c>
      <c r="D45">
        <v>-310.18255615234375</v>
      </c>
      <c r="E45">
        <v>0.59926033020019531</v>
      </c>
      <c r="F45">
        <v>-300.64581298828125</v>
      </c>
      <c r="G45">
        <v>0.59926033020019531</v>
      </c>
      <c r="H45">
        <v>-285.38702392578125</v>
      </c>
      <c r="I45">
        <v>0.59926033020019531</v>
      </c>
      <c r="J45">
        <v>-278.2344970703125</v>
      </c>
    </row>
    <row r="46" spans="1:10" x14ac:dyDescent="0.3">
      <c r="A46">
        <v>0.54926013946533203</v>
      </c>
      <c r="B46">
        <v>-350.7137451171875</v>
      </c>
      <c r="C46">
        <v>0.54926013946533203</v>
      </c>
      <c r="D46">
        <v>-333.07073974609375</v>
      </c>
      <c r="E46">
        <v>0.54926013946533203</v>
      </c>
      <c r="F46">
        <v>-325.44134521484375</v>
      </c>
      <c r="G46">
        <v>0.54926013946533203</v>
      </c>
      <c r="H46">
        <v>-310.659423828125</v>
      </c>
      <c r="I46">
        <v>0.54926013946533203</v>
      </c>
      <c r="J46">
        <v>-305.4141845703125</v>
      </c>
    </row>
    <row r="47" spans="1:10" x14ac:dyDescent="0.3">
      <c r="A47">
        <v>0.49933815002441406</v>
      </c>
      <c r="B47">
        <v>-365.01885986328125</v>
      </c>
      <c r="C47">
        <v>0.49933815002441406</v>
      </c>
      <c r="D47">
        <v>-348.32952880859375</v>
      </c>
      <c r="E47">
        <v>0.49933815002441406</v>
      </c>
      <c r="F47">
        <v>-342.13067626953125</v>
      </c>
      <c r="G47">
        <v>0.49933815002441406</v>
      </c>
      <c r="H47">
        <v>-328.3023681640625</v>
      </c>
      <c r="I47">
        <v>0.49933815002441406</v>
      </c>
      <c r="J47">
        <v>-325.918212890625</v>
      </c>
    </row>
    <row r="48" spans="1:10" x14ac:dyDescent="0.3">
      <c r="A48">
        <v>0.44933795928955078</v>
      </c>
      <c r="B48">
        <v>-372.17138671875</v>
      </c>
      <c r="C48">
        <v>0.44933795928955078</v>
      </c>
      <c r="D48">
        <v>-357.38946533203125</v>
      </c>
      <c r="E48">
        <v>0.44933795928955078</v>
      </c>
      <c r="F48">
        <v>-353.097900390625</v>
      </c>
      <c r="G48">
        <v>0.44933795928955078</v>
      </c>
      <c r="H48">
        <v>-340.22332763671875</v>
      </c>
      <c r="I48">
        <v>0.44933795928955078</v>
      </c>
      <c r="J48">
        <v>-339.7464599609375</v>
      </c>
    </row>
    <row r="49" spans="1:10" x14ac:dyDescent="0.3">
      <c r="A49">
        <v>0.3993377685546875</v>
      </c>
      <c r="B49">
        <v>-371.21771240234375</v>
      </c>
      <c r="C49">
        <v>0.3993377685546875</v>
      </c>
      <c r="D49">
        <v>-357.86627197265625</v>
      </c>
      <c r="E49">
        <v>0.3993377685546875</v>
      </c>
      <c r="F49">
        <v>-355.95892333984375</v>
      </c>
      <c r="G49">
        <v>0.3993377685546875</v>
      </c>
      <c r="H49">
        <v>-344.03802490234375</v>
      </c>
      <c r="I49">
        <v>0.3993377685546875</v>
      </c>
      <c r="J49">
        <v>-347.85272216796875</v>
      </c>
    </row>
    <row r="50" spans="1:10" x14ac:dyDescent="0.3">
      <c r="A50">
        <v>0.34941577911376953</v>
      </c>
      <c r="B50">
        <v>-368.83355712890625</v>
      </c>
      <c r="C50">
        <v>0.34941577911376953</v>
      </c>
      <c r="D50">
        <v>-356.435791015625</v>
      </c>
      <c r="E50">
        <v>0.34941577911376953</v>
      </c>
      <c r="F50">
        <v>-355.48211669921875</v>
      </c>
      <c r="G50">
        <v>0.34941577911376953</v>
      </c>
      <c r="H50">
        <v>-344.99169921875</v>
      </c>
      <c r="I50">
        <v>0.34941577911376953</v>
      </c>
      <c r="J50">
        <v>-349.76007080078125</v>
      </c>
    </row>
    <row r="51" spans="1:10" x14ac:dyDescent="0.3">
      <c r="A51">
        <v>0.29941558837890625</v>
      </c>
      <c r="B51">
        <v>-362.6346435546875</v>
      </c>
      <c r="C51">
        <v>0.29941558837890625</v>
      </c>
      <c r="D51">
        <v>-351.66741943359375</v>
      </c>
      <c r="E51">
        <v>0.29941558837890625</v>
      </c>
      <c r="F51">
        <v>-351.1905517578125</v>
      </c>
      <c r="G51">
        <v>0.29941558837890625</v>
      </c>
      <c r="H51">
        <v>-342.60748291015625</v>
      </c>
      <c r="I51">
        <v>0.29941558837890625</v>
      </c>
      <c r="J51">
        <v>-349.283203125</v>
      </c>
    </row>
    <row r="52" spans="1:10" x14ac:dyDescent="0.3">
      <c r="A52">
        <v>0.24941539764404297</v>
      </c>
      <c r="B52">
        <v>-359.77362060546875</v>
      </c>
      <c r="C52">
        <v>0.24941539764404297</v>
      </c>
      <c r="D52">
        <v>-348.806396484375</v>
      </c>
      <c r="E52">
        <v>0.24941539764404297</v>
      </c>
      <c r="F52">
        <v>-347.3758544921875</v>
      </c>
      <c r="G52">
        <v>0.24941539764404297</v>
      </c>
      <c r="H52">
        <v>-339.7464599609375</v>
      </c>
      <c r="I52">
        <v>0.24941539764404297</v>
      </c>
      <c r="J52">
        <v>-346.42218017578125</v>
      </c>
    </row>
    <row r="53" spans="1:10" x14ac:dyDescent="0.3">
      <c r="A53">
        <v>0.199493408203125</v>
      </c>
      <c r="B53">
        <v>-363.58831787109375</v>
      </c>
      <c r="C53">
        <v>0.199493408203125</v>
      </c>
      <c r="D53">
        <v>-355.48211669921875</v>
      </c>
      <c r="E53">
        <v>0.199493408203125</v>
      </c>
      <c r="F53">
        <v>-351.1905517578125</v>
      </c>
      <c r="G53">
        <v>0.199493408203125</v>
      </c>
      <c r="H53">
        <v>-345.468505859375</v>
      </c>
      <c r="I53">
        <v>0.199493408203125</v>
      </c>
      <c r="J53">
        <v>-347.85272216796875</v>
      </c>
    </row>
    <row r="54" spans="1:10" x14ac:dyDescent="0.3">
      <c r="A54">
        <v>0.14949321746826172</v>
      </c>
      <c r="B54">
        <v>-387.43017578125</v>
      </c>
      <c r="C54">
        <v>0.14949321746826172</v>
      </c>
      <c r="D54">
        <v>-390.76806640625</v>
      </c>
      <c r="E54">
        <v>0.14949321746826172</v>
      </c>
      <c r="F54">
        <v>-382.66180419921875</v>
      </c>
      <c r="G54">
        <v>0.14949321746826172</v>
      </c>
      <c r="H54">
        <v>-381.7081298828125</v>
      </c>
      <c r="I54">
        <v>0.14949321746826172</v>
      </c>
      <c r="J54">
        <v>-367.40301513671875</v>
      </c>
    </row>
    <row r="55" spans="1:10" x14ac:dyDescent="0.3">
      <c r="A55">
        <v>9.9493026733398438E-2</v>
      </c>
      <c r="B55">
        <v>-421.762451171875</v>
      </c>
      <c r="C55">
        <v>9.9493026733398438E-2</v>
      </c>
      <c r="D55">
        <v>-455.617919921875</v>
      </c>
      <c r="E55">
        <v>9.9493026733398438E-2</v>
      </c>
      <c r="F55">
        <v>-466.10833740234375</v>
      </c>
      <c r="G55">
        <v>9.9493026733398438E-2</v>
      </c>
      <c r="H55">
        <v>-481.84393310546875</v>
      </c>
      <c r="I55">
        <v>9.9493026733398438E-2</v>
      </c>
      <c r="J55">
        <v>-450.3726806640625</v>
      </c>
    </row>
    <row r="56" spans="1:10" x14ac:dyDescent="0.3">
      <c r="A56">
        <v>4.9570083618164063E-2</v>
      </c>
      <c r="B56">
        <v>-425.5771484375</v>
      </c>
      <c r="C56">
        <v>4.9570083618164063E-2</v>
      </c>
      <c r="D56">
        <v>-474.21453857421875</v>
      </c>
      <c r="E56">
        <v>4.9570083618164063E-2</v>
      </c>
      <c r="F56">
        <v>-519.99090576171875</v>
      </c>
      <c r="G56">
        <v>4.9570083618164063E-2</v>
      </c>
      <c r="H56">
        <v>-557.66107177734375</v>
      </c>
      <c r="I56">
        <v>4.9570083618164063E-2</v>
      </c>
      <c r="J56">
        <v>-570.53564453125</v>
      </c>
    </row>
    <row r="57" spans="1:10" x14ac:dyDescent="0.3">
      <c r="A57">
        <v>-4.3010711669921875E-4</v>
      </c>
      <c r="B57">
        <v>-418.90142822265625</v>
      </c>
      <c r="C57">
        <v>-4.3010711669921875E-4</v>
      </c>
      <c r="D57">
        <v>-460.86309814453125</v>
      </c>
      <c r="E57">
        <v>-4.3010711669921875E-4</v>
      </c>
      <c r="F57">
        <v>-508.54681396484375</v>
      </c>
      <c r="G57">
        <v>-4.3010711669921875E-4</v>
      </c>
      <c r="H57">
        <v>-548.60113525390625</v>
      </c>
      <c r="I57">
        <v>-4.3010711669921875E-4</v>
      </c>
      <c r="J57">
        <v>-602.9605712890625</v>
      </c>
    </row>
    <row r="58" spans="1:10" x14ac:dyDescent="0.3">
      <c r="A58">
        <v>-5.04302978515625E-2</v>
      </c>
      <c r="B58">
        <v>-417.470947265625</v>
      </c>
      <c r="C58">
        <v>-5.04302978515625E-2</v>
      </c>
      <c r="D58">
        <v>-452.75689697265625</v>
      </c>
      <c r="E58">
        <v>-5.04302978515625E-2</v>
      </c>
      <c r="F58">
        <v>-491.8575439453125</v>
      </c>
      <c r="G58">
        <v>-5.04302978515625E-2</v>
      </c>
      <c r="H58">
        <v>-526.6666259765625</v>
      </c>
      <c r="I58">
        <v>-5.04302978515625E-2</v>
      </c>
      <c r="J58">
        <v>-577.21136474609375</v>
      </c>
    </row>
    <row r="59" spans="1:10" x14ac:dyDescent="0.3">
      <c r="A59">
        <v>-0.10035228729248047</v>
      </c>
      <c r="B59">
        <v>-425.100341796875</v>
      </c>
      <c r="C59">
        <v>-0.10035228729248047</v>
      </c>
      <c r="D59">
        <v>-454.1873779296875</v>
      </c>
      <c r="E59">
        <v>-0.10035228729248047</v>
      </c>
      <c r="F59">
        <v>-486.6123046875</v>
      </c>
      <c r="G59">
        <v>-0.10035228729248047</v>
      </c>
      <c r="H59">
        <v>-515.2225341796875</v>
      </c>
      <c r="I59">
        <v>-0.10035228729248047</v>
      </c>
      <c r="J59">
        <v>-555.27685546875</v>
      </c>
    </row>
    <row r="60" spans="1:10" x14ac:dyDescent="0.3">
      <c r="A60">
        <v>-0.15035247802734375</v>
      </c>
      <c r="B60">
        <v>-442.2664794921875</v>
      </c>
      <c r="C60">
        <v>-0.15035247802734375</v>
      </c>
      <c r="D60">
        <v>-466.10833740234375</v>
      </c>
      <c r="E60">
        <v>-0.15035247802734375</v>
      </c>
      <c r="F60">
        <v>-491.38067626953125</v>
      </c>
      <c r="G60">
        <v>-0.15035247802734375</v>
      </c>
      <c r="H60">
        <v>-516.653076171875</v>
      </c>
      <c r="I60">
        <v>-0.15035247802734375</v>
      </c>
      <c r="J60">
        <v>-548.12432861328125</v>
      </c>
    </row>
    <row r="61" spans="1:10" x14ac:dyDescent="0.3">
      <c r="A61">
        <v>-0.20027446746826172</v>
      </c>
      <c r="B61">
        <v>-462.29364013671875</v>
      </c>
      <c r="C61">
        <v>-0.20027446746826172</v>
      </c>
      <c r="D61">
        <v>-484.7049560546875</v>
      </c>
      <c r="E61">
        <v>-0.20027446746826172</v>
      </c>
      <c r="F61">
        <v>-506.63946533203125</v>
      </c>
      <c r="G61">
        <v>-0.20027446746826172</v>
      </c>
      <c r="H61">
        <v>-529.05084228515625</v>
      </c>
      <c r="I61">
        <v>-0.20027446746826172</v>
      </c>
      <c r="J61">
        <v>-552.8927001953125</v>
      </c>
    </row>
    <row r="62" spans="1:10" x14ac:dyDescent="0.3">
      <c r="A62">
        <v>-0.250274658203125</v>
      </c>
      <c r="B62">
        <v>-485.65863037109375</v>
      </c>
      <c r="C62">
        <v>-0.250274658203125</v>
      </c>
      <c r="D62">
        <v>-507.1163330078125</v>
      </c>
      <c r="E62">
        <v>-0.250274658203125</v>
      </c>
      <c r="F62">
        <v>-527.14349365234375</v>
      </c>
      <c r="G62">
        <v>-0.250274658203125</v>
      </c>
      <c r="H62">
        <v>-548.12432861328125</v>
      </c>
      <c r="I62">
        <v>-0.250274658203125</v>
      </c>
      <c r="J62">
        <v>-568.1514892578125</v>
      </c>
    </row>
    <row r="63" spans="1:10" x14ac:dyDescent="0.3">
      <c r="A63">
        <v>-0.30027484893798828</v>
      </c>
      <c r="B63">
        <v>-508.07000732421875</v>
      </c>
      <c r="C63">
        <v>-0.30027484893798828</v>
      </c>
      <c r="D63">
        <v>-529.05084228515625</v>
      </c>
      <c r="E63">
        <v>-0.30027484893798828</v>
      </c>
      <c r="F63">
        <v>-549.5548095703125</v>
      </c>
      <c r="G63">
        <v>-0.30027484893798828</v>
      </c>
      <c r="H63">
        <v>-570.53564453125</v>
      </c>
      <c r="I63">
        <v>-0.30027484893798828</v>
      </c>
      <c r="J63">
        <v>-588.17864990234375</v>
      </c>
    </row>
    <row r="64" spans="1:10" x14ac:dyDescent="0.3">
      <c r="A64">
        <v>-0.35019683837890625</v>
      </c>
      <c r="B64">
        <v>-529.52764892578125</v>
      </c>
      <c r="C64">
        <v>-0.35019683837890625</v>
      </c>
      <c r="D64">
        <v>-550.03167724609375</v>
      </c>
      <c r="E64">
        <v>-0.35019683837890625</v>
      </c>
      <c r="F64">
        <v>-571.9661865234375</v>
      </c>
      <c r="G64">
        <v>-0.35019683837890625</v>
      </c>
      <c r="H64">
        <v>-592.47015380859375</v>
      </c>
      <c r="I64">
        <v>-0.35019683837890625</v>
      </c>
      <c r="J64">
        <v>-611.54364013671875</v>
      </c>
    </row>
    <row r="65" spans="1:10" x14ac:dyDescent="0.3">
      <c r="A65">
        <v>-0.40019702911376953</v>
      </c>
      <c r="B65">
        <v>-546.69378662109375</v>
      </c>
      <c r="C65">
        <v>-0.40019702911376953</v>
      </c>
      <c r="D65">
        <v>-567.19781494140625</v>
      </c>
      <c r="E65">
        <v>-0.40019702911376953</v>
      </c>
      <c r="F65">
        <v>-590.08599853515625</v>
      </c>
      <c r="G65">
        <v>-0.40019702911376953</v>
      </c>
      <c r="H65">
        <v>-610.1131591796875</v>
      </c>
      <c r="I65">
        <v>-0.40019702911376953</v>
      </c>
      <c r="J65">
        <v>-633.006103515625</v>
      </c>
    </row>
    <row r="66" spans="1:10" x14ac:dyDescent="0.3">
      <c r="A66">
        <v>-0.45019721984863281</v>
      </c>
      <c r="B66">
        <v>-561.47576904296875</v>
      </c>
      <c r="C66">
        <v>-0.45019721984863281</v>
      </c>
      <c r="D66">
        <v>-581.5029296875</v>
      </c>
      <c r="E66">
        <v>-0.45019721984863281</v>
      </c>
      <c r="F66">
        <v>-604.39111328125</v>
      </c>
      <c r="G66">
        <v>-0.45019721984863281</v>
      </c>
      <c r="H66">
        <v>-623.94140625</v>
      </c>
      <c r="I66">
        <v>-0.45019721984863281</v>
      </c>
      <c r="J66">
        <v>-649.21856689453125</v>
      </c>
    </row>
    <row r="67" spans="1:10" x14ac:dyDescent="0.3">
      <c r="A67">
        <v>-0.50011920928955078</v>
      </c>
      <c r="B67">
        <v>-575.7808837890625</v>
      </c>
      <c r="C67">
        <v>-0.50011920928955078</v>
      </c>
      <c r="D67">
        <v>-595.3311767578125</v>
      </c>
      <c r="E67">
        <v>-0.50011920928955078</v>
      </c>
      <c r="F67">
        <v>-618.2193603515625</v>
      </c>
      <c r="G67">
        <v>-0.50011920928955078</v>
      </c>
      <c r="H67">
        <v>-637.297607421875</v>
      </c>
      <c r="I67">
        <v>-0.50011920928955078</v>
      </c>
      <c r="J67">
        <v>-664.00048828125</v>
      </c>
    </row>
    <row r="68" spans="1:10" x14ac:dyDescent="0.3">
      <c r="A68">
        <v>-0.55011940002441406</v>
      </c>
      <c r="B68">
        <v>-590.56280517578125</v>
      </c>
      <c r="C68">
        <v>-0.55011940002441406</v>
      </c>
      <c r="D68">
        <v>-608.205810546875</v>
      </c>
      <c r="E68">
        <v>-0.55011940002441406</v>
      </c>
      <c r="F68">
        <v>-632.05242919921875</v>
      </c>
      <c r="G68">
        <v>-0.55011940002441406</v>
      </c>
      <c r="H68">
        <v>-649.69537353515625</v>
      </c>
      <c r="I68">
        <v>-0.55011940002441406</v>
      </c>
      <c r="J68">
        <v>-675.444580078125</v>
      </c>
    </row>
    <row r="69" spans="1:10" x14ac:dyDescent="0.3">
      <c r="A69">
        <v>-0.60011959075927734</v>
      </c>
      <c r="B69">
        <v>-604.867919921875</v>
      </c>
      <c r="C69">
        <v>-0.60011959075927734</v>
      </c>
      <c r="D69">
        <v>-621.5572509765625</v>
      </c>
      <c r="E69">
        <v>-0.60011959075927734</v>
      </c>
      <c r="F69">
        <v>-644.4501953125</v>
      </c>
      <c r="G69">
        <v>-0.60011959075927734</v>
      </c>
      <c r="H69">
        <v>-661.13946533203125</v>
      </c>
      <c r="I69">
        <v>-0.60011959075927734</v>
      </c>
      <c r="J69">
        <v>-686.888671875</v>
      </c>
    </row>
    <row r="70" spans="1:10" x14ac:dyDescent="0.3">
      <c r="A70">
        <v>-0.65004158020019531</v>
      </c>
      <c r="B70">
        <v>-620.60357666015625</v>
      </c>
      <c r="C70">
        <v>-0.65004158020019531</v>
      </c>
      <c r="D70">
        <v>-635.86712646484375</v>
      </c>
      <c r="E70">
        <v>-0.65004158020019531</v>
      </c>
      <c r="F70">
        <v>-658.2784423828125</v>
      </c>
      <c r="G70">
        <v>-0.65004158020019531</v>
      </c>
      <c r="H70">
        <v>-673.0604248046875</v>
      </c>
      <c r="I70">
        <v>-0.65004158020019531</v>
      </c>
      <c r="J70">
        <v>-698.80963134765625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zewail</dc:creator>
  <cp:lastModifiedBy>saif zewail</cp:lastModifiedBy>
  <dcterms:created xsi:type="dcterms:W3CDTF">2025-11-25T17:35:29Z</dcterms:created>
  <dcterms:modified xsi:type="dcterms:W3CDTF">2025-11-25T18:03:50Z</dcterms:modified>
</cp:coreProperties>
</file>