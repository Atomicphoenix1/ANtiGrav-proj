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if_\Desktop\downs\Modern charac\"/>
    </mc:Choice>
  </mc:AlternateContent>
  <bookViews>
    <workbookView xWindow="0" yWindow="0" windowWidth="17256" windowHeight="776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0" i="1" l="1"/>
  <c r="N29" i="1"/>
  <c r="N28" i="1"/>
  <c r="N27" i="1"/>
  <c r="N26" i="1"/>
  <c r="M30" i="1"/>
  <c r="M29" i="1"/>
  <c r="M28" i="1"/>
  <c r="M27" i="1"/>
  <c r="M26" i="1"/>
</calcChain>
</file>

<file path=xl/sharedStrings.xml><?xml version="1.0" encoding="utf-8"?>
<sst xmlns="http://schemas.openxmlformats.org/spreadsheetml/2006/main" count="20" uniqueCount="8">
  <si>
    <t>CV i vs E</t>
  </si>
  <si>
    <t>V</t>
  </si>
  <si>
    <t>µA</t>
  </si>
  <si>
    <t>0.21V</t>
  </si>
  <si>
    <t>scan rate</t>
  </si>
  <si>
    <t>mV/s</t>
  </si>
  <si>
    <t>uA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</si>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</sst>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</c:v>
          </c:tx>
          <c:xVal>
            <c:numRef>
              <c:f>Sheet1!$A$3:$A$71</c:f>
              <c:numCache>
                <c:formatCode>General</c:formatCode>
                <c:ptCount val="69"/>
                <c:pt idx="0">
                  <c:v>-0.70004177093505859</c:v>
                </c:pt>
                <c:pt idx="1">
                  <c:v>-0.65004158020019531</c:v>
                </c:pt>
                <c:pt idx="2">
                  <c:v>-0.60011959075927734</c:v>
                </c:pt>
                <c:pt idx="3">
                  <c:v>-0.55011940002441406</c:v>
                </c:pt>
                <c:pt idx="4">
                  <c:v>-0.50011920928955078</c:v>
                </c:pt>
                <c:pt idx="5">
                  <c:v>-0.45019721984863281</c:v>
                </c:pt>
                <c:pt idx="6">
                  <c:v>-0.40019702911376953</c:v>
                </c:pt>
                <c:pt idx="7">
                  <c:v>-0.35019683837890625</c:v>
                </c:pt>
                <c:pt idx="8">
                  <c:v>-0.30027484893798828</c:v>
                </c:pt>
                <c:pt idx="9">
                  <c:v>-0.250274658203125</c:v>
                </c:pt>
                <c:pt idx="10">
                  <c:v>-0.20027446746826172</c:v>
                </c:pt>
                <c:pt idx="11">
                  <c:v>-0.15035247802734375</c:v>
                </c:pt>
                <c:pt idx="12">
                  <c:v>-0.10035228729248047</c:v>
                </c:pt>
                <c:pt idx="13">
                  <c:v>-5.04302978515625E-2</c:v>
                </c:pt>
                <c:pt idx="14">
                  <c:v>-4.3010711669921875E-4</c:v>
                </c:pt>
                <c:pt idx="15">
                  <c:v>4.9570083618164063E-2</c:v>
                </c:pt>
                <c:pt idx="16">
                  <c:v>9.9493026733398438E-2</c:v>
                </c:pt>
                <c:pt idx="17">
                  <c:v>0.14949321746826172</c:v>
                </c:pt>
                <c:pt idx="18">
                  <c:v>0.199493408203125</c:v>
                </c:pt>
                <c:pt idx="19">
                  <c:v>0.24941539764404297</c:v>
                </c:pt>
                <c:pt idx="20">
                  <c:v>0.29941558837890625</c:v>
                </c:pt>
                <c:pt idx="21">
                  <c:v>0.34941577911376953</c:v>
                </c:pt>
                <c:pt idx="22">
                  <c:v>0.3993377685546875</c:v>
                </c:pt>
                <c:pt idx="23">
                  <c:v>0.44933795928955078</c:v>
                </c:pt>
                <c:pt idx="24">
                  <c:v>0.49933815002441406</c:v>
                </c:pt>
                <c:pt idx="25">
                  <c:v>0.54926013946533203</c:v>
                </c:pt>
                <c:pt idx="26">
                  <c:v>0.59926033020019531</c:v>
                </c:pt>
                <c:pt idx="27">
                  <c:v>0.64926052093505859</c:v>
                </c:pt>
                <c:pt idx="28">
                  <c:v>0.69918251037597656</c:v>
                </c:pt>
                <c:pt idx="29">
                  <c:v>0.74918270111083984</c:v>
                </c:pt>
                <c:pt idx="30">
                  <c:v>0.79918289184570313</c:v>
                </c:pt>
                <c:pt idx="31">
                  <c:v>0.84910488128662109</c:v>
                </c:pt>
                <c:pt idx="32">
                  <c:v>0.89910507202148438</c:v>
                </c:pt>
                <c:pt idx="33">
                  <c:v>0.94902706146240234</c:v>
                </c:pt>
                <c:pt idx="34">
                  <c:v>0.99902725219726563</c:v>
                </c:pt>
                <c:pt idx="35">
                  <c:v>0.94902706146240234</c:v>
                </c:pt>
                <c:pt idx="36">
                  <c:v>0.89910507202148438</c:v>
                </c:pt>
                <c:pt idx="37">
                  <c:v>0.84910488128662109</c:v>
                </c:pt>
                <c:pt idx="38">
                  <c:v>0.79918289184570313</c:v>
                </c:pt>
                <c:pt idx="39">
                  <c:v>0.74918270111083984</c:v>
                </c:pt>
                <c:pt idx="40">
                  <c:v>0.69918251037597656</c:v>
                </c:pt>
                <c:pt idx="41">
                  <c:v>0.64926052093505859</c:v>
                </c:pt>
                <c:pt idx="42">
                  <c:v>0.59926033020019531</c:v>
                </c:pt>
                <c:pt idx="43">
                  <c:v>0.54926013946533203</c:v>
                </c:pt>
                <c:pt idx="44">
                  <c:v>0.49933815002441406</c:v>
                </c:pt>
                <c:pt idx="45">
                  <c:v>0.44933795928955078</c:v>
                </c:pt>
                <c:pt idx="46">
                  <c:v>0.3993377685546875</c:v>
                </c:pt>
                <c:pt idx="47">
                  <c:v>0.34941577911376953</c:v>
                </c:pt>
                <c:pt idx="48">
                  <c:v>0.29941558837890625</c:v>
                </c:pt>
                <c:pt idx="49">
                  <c:v>0.24941539764404297</c:v>
                </c:pt>
                <c:pt idx="50">
                  <c:v>0.199493408203125</c:v>
                </c:pt>
                <c:pt idx="51">
                  <c:v>0.14949321746826172</c:v>
                </c:pt>
                <c:pt idx="52">
                  <c:v>9.9493026733398438E-2</c:v>
                </c:pt>
                <c:pt idx="53">
                  <c:v>4.9570083618164063E-2</c:v>
                </c:pt>
                <c:pt idx="54">
                  <c:v>-4.3010711669921875E-4</c:v>
                </c:pt>
                <c:pt idx="55">
                  <c:v>-5.04302978515625E-2</c:v>
                </c:pt>
                <c:pt idx="56">
                  <c:v>-0.10035228729248047</c:v>
                </c:pt>
                <c:pt idx="57">
                  <c:v>-0.15035247802734375</c:v>
                </c:pt>
                <c:pt idx="58">
                  <c:v>-0.20027446746826172</c:v>
                </c:pt>
                <c:pt idx="59">
                  <c:v>-0.250274658203125</c:v>
                </c:pt>
                <c:pt idx="60">
                  <c:v>-0.30027484893798828</c:v>
                </c:pt>
                <c:pt idx="61">
                  <c:v>-0.35019683837890625</c:v>
                </c:pt>
                <c:pt idx="62">
                  <c:v>-0.40019702911376953</c:v>
                </c:pt>
                <c:pt idx="63">
                  <c:v>-0.45019721984863281</c:v>
                </c:pt>
                <c:pt idx="64">
                  <c:v>-0.50011920928955078</c:v>
                </c:pt>
                <c:pt idx="65">
                  <c:v>-0.55011940002441406</c:v>
                </c:pt>
                <c:pt idx="66">
                  <c:v>-0.60011959075927734</c:v>
                </c:pt>
                <c:pt idx="67">
                  <c:v>-0.65004158020019531</c:v>
                </c:pt>
              </c:numCache>
            </c:numRef>
          </c:xVal>
          <c:yVal>
            <c:numRef>
              <c:f>Sheet1!$B$3:$B$71</c:f>
              <c:numCache>
                <c:formatCode>General</c:formatCode>
                <c:ptCount val="69"/>
                <c:pt idx="0">
                  <c:v>-193.83430480957031</c:v>
                </c:pt>
                <c:pt idx="1">
                  <c:v>-5.0067901611328125</c:v>
                </c:pt>
                <c:pt idx="2">
                  <c:v>79.870223999023438</c:v>
                </c:pt>
                <c:pt idx="3">
                  <c:v>132.79914855957031</c:v>
                </c:pt>
                <c:pt idx="4">
                  <c:v>171.42295837402344</c:v>
                </c:pt>
                <c:pt idx="5">
                  <c:v>201.94053649902344</c:v>
                </c:pt>
                <c:pt idx="6">
                  <c:v>225.78239440917969</c:v>
                </c:pt>
                <c:pt idx="7">
                  <c:v>245.33271789550781</c:v>
                </c:pt>
                <c:pt idx="8">
                  <c:v>260.59149169921875</c:v>
                </c:pt>
                <c:pt idx="9">
                  <c:v>271.0819091796875</c:v>
                </c:pt>
                <c:pt idx="10">
                  <c:v>277.28082275390625</c:v>
                </c:pt>
                <c:pt idx="11">
                  <c:v>275.37347412109375</c:v>
                </c:pt>
                <c:pt idx="12">
                  <c:v>268.69775390625</c:v>
                </c:pt>
                <c:pt idx="13">
                  <c:v>262.02203369140625</c:v>
                </c:pt>
                <c:pt idx="14">
                  <c:v>263.4525146484375</c:v>
                </c:pt>
                <c:pt idx="15">
                  <c:v>292.062744140625</c:v>
                </c:pt>
                <c:pt idx="16">
                  <c:v>394.10589599609375</c:v>
                </c:pt>
                <c:pt idx="17">
                  <c:v>521.89825439453125</c:v>
                </c:pt>
                <c:pt idx="18">
                  <c:v>552.41583251953125</c:v>
                </c:pt>
                <c:pt idx="19">
                  <c:v>537.15704345703125</c:v>
                </c:pt>
                <c:pt idx="20">
                  <c:v>533.8192138671875</c:v>
                </c:pt>
                <c:pt idx="21">
                  <c:v>547.170654296875</c:v>
                </c:pt>
                <c:pt idx="22">
                  <c:v>568.1514892578125</c:v>
                </c:pt>
                <c:pt idx="23">
                  <c:v>591.0396728515625</c:v>
                </c:pt>
                <c:pt idx="24">
                  <c:v>617.26568603515625</c:v>
                </c:pt>
                <c:pt idx="25">
                  <c:v>643.0196533203125</c:v>
                </c:pt>
                <c:pt idx="26">
                  <c:v>670.67620849609375</c:v>
                </c:pt>
                <c:pt idx="27">
                  <c:v>698.80963134765625</c:v>
                </c:pt>
                <c:pt idx="28">
                  <c:v>730.2808837890625</c:v>
                </c:pt>
                <c:pt idx="29">
                  <c:v>774.14990234375</c:v>
                </c:pt>
                <c:pt idx="30">
                  <c:v>831.370361328125</c:v>
                </c:pt>
                <c:pt idx="31">
                  <c:v>905.28009033203125</c:v>
                </c:pt>
                <c:pt idx="32">
                  <c:v>1012.0916137695313</c:v>
                </c:pt>
                <c:pt idx="33">
                  <c:v>1172.3089599609375</c:v>
                </c:pt>
                <c:pt idx="34">
                  <c:v>1426.93994140625</c:v>
                </c:pt>
                <c:pt idx="35">
                  <c:v>695.47174072265625</c:v>
                </c:pt>
                <c:pt idx="36">
                  <c:v>293.4932861328125</c:v>
                </c:pt>
                <c:pt idx="37">
                  <c:v>72.240829467773438</c:v>
                </c:pt>
                <c:pt idx="38">
                  <c:v>-60.796737670898438</c:v>
                </c:pt>
                <c:pt idx="39">
                  <c:v>-147.10426330566406</c:v>
                </c:pt>
                <c:pt idx="40">
                  <c:v>-206.70890808105469</c:v>
                </c:pt>
                <c:pt idx="41">
                  <c:v>-246.76322937011719</c:v>
                </c:pt>
                <c:pt idx="42">
                  <c:v>-278.2344970703125</c:v>
                </c:pt>
                <c:pt idx="43">
                  <c:v>-305.4141845703125</c:v>
                </c:pt>
                <c:pt idx="44">
                  <c:v>-325.918212890625</c:v>
                </c:pt>
                <c:pt idx="45">
                  <c:v>-339.7464599609375</c:v>
                </c:pt>
                <c:pt idx="46">
                  <c:v>-347.85272216796875</c:v>
                </c:pt>
                <c:pt idx="47">
                  <c:v>-349.76007080078125</c:v>
                </c:pt>
                <c:pt idx="48">
                  <c:v>-349.283203125</c:v>
                </c:pt>
                <c:pt idx="49">
                  <c:v>-346.42218017578125</c:v>
                </c:pt>
                <c:pt idx="50">
                  <c:v>-347.85272216796875</c:v>
                </c:pt>
                <c:pt idx="51">
                  <c:v>-367.40301513671875</c:v>
                </c:pt>
                <c:pt idx="52">
                  <c:v>-450.3726806640625</c:v>
                </c:pt>
                <c:pt idx="53">
                  <c:v>-570.53564453125</c:v>
                </c:pt>
                <c:pt idx="54">
                  <c:v>-602.9605712890625</c:v>
                </c:pt>
                <c:pt idx="55">
                  <c:v>-577.21136474609375</c:v>
                </c:pt>
                <c:pt idx="56">
                  <c:v>-555.27685546875</c:v>
                </c:pt>
                <c:pt idx="57">
                  <c:v>-548.12432861328125</c:v>
                </c:pt>
                <c:pt idx="58">
                  <c:v>-552.8927001953125</c:v>
                </c:pt>
                <c:pt idx="59">
                  <c:v>-568.1514892578125</c:v>
                </c:pt>
                <c:pt idx="60">
                  <c:v>-588.17864990234375</c:v>
                </c:pt>
                <c:pt idx="61">
                  <c:v>-611.54364013671875</c:v>
                </c:pt>
                <c:pt idx="62">
                  <c:v>-633.006103515625</c:v>
                </c:pt>
                <c:pt idx="63">
                  <c:v>-649.21856689453125</c:v>
                </c:pt>
                <c:pt idx="64">
                  <c:v>-664.00048828125</c:v>
                </c:pt>
                <c:pt idx="65">
                  <c:v>-675.444580078125</c:v>
                </c:pt>
                <c:pt idx="66">
                  <c:v>-686.888671875</c:v>
                </c:pt>
                <c:pt idx="67">
                  <c:v>-698.80963134765625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A9-4FB5-BA00-9391FA3CC0DA}"/>
            </c:ext>
          </c:extLst>
        </c:ser>
        <c:ser>
          <c:idx val="1"/>
          <c:order val="1"/>
          <c:tx>
            <c:v>CV i vs E</c:v>
          </c:tx>
          <c:xVal>
            <c:numRef>
              <c:f>Sheet1!$C$3:$C$51</c:f>
              <c:numCache>
                <c:formatCode>General</c:formatCode>
                <c:ptCount val="49"/>
                <c:pt idx="0">
                  <c:v>-0.70004177093505859</c:v>
                </c:pt>
                <c:pt idx="1">
                  <c:v>-0.62996292114257813</c:v>
                </c:pt>
                <c:pt idx="2">
                  <c:v>-0.55996322631835938</c:v>
                </c:pt>
                <c:pt idx="3">
                  <c:v>-0.48988437652587891</c:v>
                </c:pt>
                <c:pt idx="4">
                  <c:v>-0.41988468170166016</c:v>
                </c:pt>
                <c:pt idx="5">
                  <c:v>-0.349884033203125</c:v>
                </c:pt>
                <c:pt idx="6">
                  <c:v>-0.27980613708496094</c:v>
                </c:pt>
                <c:pt idx="7">
                  <c:v>-0.20980548858642578</c:v>
                </c:pt>
                <c:pt idx="8">
                  <c:v>-0.13972663879394531</c:v>
                </c:pt>
                <c:pt idx="9">
                  <c:v>-6.9726943969726563E-2</c:v>
                </c:pt>
                <c:pt idx="10">
                  <c:v>3.5190582275390625E-4</c:v>
                </c:pt>
                <c:pt idx="11">
                  <c:v>7.0351600646972656E-2</c:v>
                </c:pt>
                <c:pt idx="12">
                  <c:v>0.14043045043945313</c:v>
                </c:pt>
                <c:pt idx="13">
                  <c:v>0.21043014526367188</c:v>
                </c:pt>
                <c:pt idx="14">
                  <c:v>0.28050899505615234</c:v>
                </c:pt>
                <c:pt idx="15">
                  <c:v>0.3505096435546875</c:v>
                </c:pt>
                <c:pt idx="16">
                  <c:v>0.42058753967285156</c:v>
                </c:pt>
                <c:pt idx="17">
                  <c:v>0.49058818817138672</c:v>
                </c:pt>
                <c:pt idx="18">
                  <c:v>0.56066608428955078</c:v>
                </c:pt>
                <c:pt idx="19">
                  <c:v>0.63066673278808594</c:v>
                </c:pt>
                <c:pt idx="20">
                  <c:v>0.70074462890625</c:v>
                </c:pt>
                <c:pt idx="21">
                  <c:v>0.77074527740478516</c:v>
                </c:pt>
                <c:pt idx="22">
                  <c:v>0.84082317352294922</c:v>
                </c:pt>
                <c:pt idx="23">
                  <c:v>0.91082382202148438</c:v>
                </c:pt>
                <c:pt idx="24">
                  <c:v>0.98090267181396484</c:v>
                </c:pt>
                <c:pt idx="25">
                  <c:v>0.91082382202148438</c:v>
                </c:pt>
                <c:pt idx="26">
                  <c:v>0.84082317352294922</c:v>
                </c:pt>
                <c:pt idx="27">
                  <c:v>0.77074527740478516</c:v>
                </c:pt>
                <c:pt idx="28">
                  <c:v>0.70074462890625</c:v>
                </c:pt>
                <c:pt idx="29">
                  <c:v>0.63066673278808594</c:v>
                </c:pt>
                <c:pt idx="30">
                  <c:v>0.56066608428955078</c:v>
                </c:pt>
                <c:pt idx="31">
                  <c:v>0.49058818817138672</c:v>
                </c:pt>
                <c:pt idx="32">
                  <c:v>0.42058753967285156</c:v>
                </c:pt>
                <c:pt idx="33">
                  <c:v>0.3505096435546875</c:v>
                </c:pt>
                <c:pt idx="34">
                  <c:v>0.28050899505615234</c:v>
                </c:pt>
                <c:pt idx="35">
                  <c:v>0.21043014526367188</c:v>
                </c:pt>
                <c:pt idx="36">
                  <c:v>0.14043045043945313</c:v>
                </c:pt>
                <c:pt idx="37">
                  <c:v>7.0351600646972656E-2</c:v>
                </c:pt>
                <c:pt idx="38">
                  <c:v>3.5190582275390625E-4</c:v>
                </c:pt>
                <c:pt idx="39">
                  <c:v>-6.9726943969726563E-2</c:v>
                </c:pt>
                <c:pt idx="40">
                  <c:v>-0.13972663879394531</c:v>
                </c:pt>
                <c:pt idx="41">
                  <c:v>-0.20980548858642578</c:v>
                </c:pt>
                <c:pt idx="42">
                  <c:v>-0.27980613708496094</c:v>
                </c:pt>
                <c:pt idx="43">
                  <c:v>-0.349884033203125</c:v>
                </c:pt>
                <c:pt idx="44">
                  <c:v>-0.41988468170166016</c:v>
                </c:pt>
                <c:pt idx="45">
                  <c:v>-0.48988437652587891</c:v>
                </c:pt>
                <c:pt idx="46">
                  <c:v>-0.55996322631835938</c:v>
                </c:pt>
                <c:pt idx="47">
                  <c:v>-0.62996292114257813</c:v>
                </c:pt>
              </c:numCache>
            </c:numRef>
          </c:xVal>
          <c:yVal>
            <c:numRef>
              <c:f>Sheet1!$D$3:$D$51</c:f>
              <c:numCache>
                <c:formatCode>General</c:formatCode>
                <c:ptCount val="49"/>
                <c:pt idx="0">
                  <c:v>-183.82072448730469</c:v>
                </c:pt>
                <c:pt idx="1">
                  <c:v>72.717666625976563</c:v>
                </c:pt>
                <c:pt idx="2">
                  <c:v>186.68174743652344</c:v>
                </c:pt>
                <c:pt idx="3">
                  <c:v>257.73046875</c:v>
                </c:pt>
                <c:pt idx="4">
                  <c:v>308.7520751953125</c:v>
                </c:pt>
                <c:pt idx="5">
                  <c:v>347.3758544921875</c:v>
                </c:pt>
                <c:pt idx="6">
                  <c:v>373.6019287109375</c:v>
                </c:pt>
                <c:pt idx="7">
                  <c:v>391.244873046875</c:v>
                </c:pt>
                <c:pt idx="8">
                  <c:v>395.53643798828125</c:v>
                </c:pt>
                <c:pt idx="9">
                  <c:v>387.90704345703125</c:v>
                </c:pt>
                <c:pt idx="10">
                  <c:v>384.56915283203125</c:v>
                </c:pt>
                <c:pt idx="11">
                  <c:v>434.6370849609375</c:v>
                </c:pt>
                <c:pt idx="12">
                  <c:v>623.94140625</c:v>
                </c:pt>
                <c:pt idx="13">
                  <c:v>710.73052978515625</c:v>
                </c:pt>
                <c:pt idx="14">
                  <c:v>693.08758544921875</c:v>
                </c:pt>
                <c:pt idx="15">
                  <c:v>702.62432861328125</c:v>
                </c:pt>
                <c:pt idx="16">
                  <c:v>734.0955810546875</c:v>
                </c:pt>
                <c:pt idx="17">
                  <c:v>773.67303466796875</c:v>
                </c:pt>
                <c:pt idx="18">
                  <c:v>815.15789794921875</c:v>
                </c:pt>
                <c:pt idx="19">
                  <c:v>861.887939453125</c:v>
                </c:pt>
                <c:pt idx="20">
                  <c:v>908.61798095703125</c:v>
                </c:pt>
                <c:pt idx="21">
                  <c:v>975.85198974609375</c:v>
                </c:pt>
                <c:pt idx="22">
                  <c:v>1076.9415283203125</c:v>
                </c:pt>
                <c:pt idx="23">
                  <c:v>1232.8671875</c:v>
                </c:pt>
                <c:pt idx="24">
                  <c:v>1497.9886474609375</c:v>
                </c:pt>
                <c:pt idx="25">
                  <c:v>603.43743896484375</c:v>
                </c:pt>
                <c:pt idx="26">
                  <c:v>170.94612121582031</c:v>
                </c:pt>
                <c:pt idx="27">
                  <c:v>-56.505203247070313</c:v>
                </c:pt>
                <c:pt idx="28">
                  <c:v>-188.11225891113281</c:v>
                </c:pt>
                <c:pt idx="29">
                  <c:v>-269.174560546875</c:v>
                </c:pt>
                <c:pt idx="30">
                  <c:v>-331.16339111328125</c:v>
                </c:pt>
                <c:pt idx="31">
                  <c:v>-374.55560302734375</c:v>
                </c:pt>
                <c:pt idx="32">
                  <c:v>-406.02685546875</c:v>
                </c:pt>
                <c:pt idx="33">
                  <c:v>-419.3782958984375</c:v>
                </c:pt>
                <c:pt idx="34">
                  <c:v>-423.6697998046875</c:v>
                </c:pt>
                <c:pt idx="35">
                  <c:v>-424.62347412109375</c:v>
                </c:pt>
                <c:pt idx="36">
                  <c:v>-458.47894287109375</c:v>
                </c:pt>
                <c:pt idx="37">
                  <c:v>-619.17303466796875</c:v>
                </c:pt>
                <c:pt idx="38">
                  <c:v>-720.26727294921875</c:v>
                </c:pt>
                <c:pt idx="39">
                  <c:v>-687.84234619140625</c:v>
                </c:pt>
                <c:pt idx="40">
                  <c:v>-665.9078369140625</c:v>
                </c:pt>
                <c:pt idx="41">
                  <c:v>-672.58355712890625</c:v>
                </c:pt>
                <c:pt idx="42">
                  <c:v>-699.28643798828125</c:v>
                </c:pt>
                <c:pt idx="43">
                  <c:v>-736.479736328125</c:v>
                </c:pt>
                <c:pt idx="44">
                  <c:v>-773.67303466796875</c:v>
                </c:pt>
                <c:pt idx="45">
                  <c:v>-803.2369384765625</c:v>
                </c:pt>
                <c:pt idx="46">
                  <c:v>-828.032470703125</c:v>
                </c:pt>
                <c:pt idx="47">
                  <c:v>-849.96697998046875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DA9-4FB5-BA00-9391FA3CC0DA}"/>
            </c:ext>
          </c:extLst>
        </c:ser>
        <c:ser>
          <c:idx val="2"/>
          <c:order val="2"/>
          <c:tx>
            <c:v>CV i vs E</c:v>
          </c:tx>
          <c:xVal>
            <c:numRef>
              <c:f>Sheet1!$E$3:$E$41</c:f>
              <c:numCache>
                <c:formatCode>General</c:formatCode>
                <c:ptCount val="39"/>
                <c:pt idx="0">
                  <c:v>-0.70004177093505859</c:v>
                </c:pt>
                <c:pt idx="1">
                  <c:v>-0.61004161834716797</c:v>
                </c:pt>
                <c:pt idx="2">
                  <c:v>-0.51996326446533203</c:v>
                </c:pt>
                <c:pt idx="3">
                  <c:v>-0.429962158203125</c:v>
                </c:pt>
                <c:pt idx="4">
                  <c:v>-0.33996200561523438</c:v>
                </c:pt>
                <c:pt idx="5">
                  <c:v>-0.24988365173339844</c:v>
                </c:pt>
                <c:pt idx="6">
                  <c:v>-0.15988349914550781</c:v>
                </c:pt>
                <c:pt idx="7">
                  <c:v>-6.9883346557617188E-2</c:v>
                </c:pt>
                <c:pt idx="8">
                  <c:v>2.019500732421875E-2</c:v>
                </c:pt>
                <c:pt idx="9">
                  <c:v>0.11019611358642578</c:v>
                </c:pt>
                <c:pt idx="10">
                  <c:v>0.20027446746826172</c:v>
                </c:pt>
                <c:pt idx="11">
                  <c:v>0.29027462005615234</c:v>
                </c:pt>
                <c:pt idx="12">
                  <c:v>0.38027477264404297</c:v>
                </c:pt>
                <c:pt idx="13">
                  <c:v>0.47035312652587891</c:v>
                </c:pt>
                <c:pt idx="14">
                  <c:v>0.56035327911376953</c:v>
                </c:pt>
                <c:pt idx="15">
                  <c:v>0.65035438537597656</c:v>
                </c:pt>
                <c:pt idx="16">
                  <c:v>0.7404327392578125</c:v>
                </c:pt>
                <c:pt idx="17">
                  <c:v>0.83043289184570313</c:v>
                </c:pt>
                <c:pt idx="18">
                  <c:v>0.92043304443359375</c:v>
                </c:pt>
                <c:pt idx="19">
                  <c:v>1.0105113983154297</c:v>
                </c:pt>
                <c:pt idx="20">
                  <c:v>0.92043304443359375</c:v>
                </c:pt>
                <c:pt idx="21">
                  <c:v>0.83043289184570313</c:v>
                </c:pt>
                <c:pt idx="22">
                  <c:v>0.7404327392578125</c:v>
                </c:pt>
                <c:pt idx="23">
                  <c:v>0.65035438537597656</c:v>
                </c:pt>
                <c:pt idx="24">
                  <c:v>0.56035327911376953</c:v>
                </c:pt>
                <c:pt idx="25">
                  <c:v>0.47035312652587891</c:v>
                </c:pt>
                <c:pt idx="26">
                  <c:v>0.38027477264404297</c:v>
                </c:pt>
                <c:pt idx="27">
                  <c:v>0.29027462005615234</c:v>
                </c:pt>
                <c:pt idx="28">
                  <c:v>0.20027446746826172</c:v>
                </c:pt>
                <c:pt idx="29">
                  <c:v>0.11019611358642578</c:v>
                </c:pt>
                <c:pt idx="30">
                  <c:v>2.019500732421875E-2</c:v>
                </c:pt>
                <c:pt idx="31">
                  <c:v>-6.9883346557617188E-2</c:v>
                </c:pt>
                <c:pt idx="32">
                  <c:v>-0.15988349914550781</c:v>
                </c:pt>
                <c:pt idx="33">
                  <c:v>-0.24988365173339844</c:v>
                </c:pt>
                <c:pt idx="34">
                  <c:v>-0.33996200561523438</c:v>
                </c:pt>
                <c:pt idx="35">
                  <c:v>-0.429962158203125</c:v>
                </c:pt>
                <c:pt idx="36">
                  <c:v>-0.51996326446533203</c:v>
                </c:pt>
                <c:pt idx="37">
                  <c:v>-0.61004161834716797</c:v>
                </c:pt>
              </c:numCache>
            </c:numRef>
          </c:xVal>
          <c:yVal>
            <c:numRef>
              <c:f>Sheet1!$F$3:$F$41</c:f>
              <c:numCache>
                <c:formatCode>General</c:formatCode>
                <c:ptCount val="39"/>
                <c:pt idx="0">
                  <c:v>-153.30314636230469</c:v>
                </c:pt>
                <c:pt idx="1">
                  <c:v>168.56193542480469</c:v>
                </c:pt>
                <c:pt idx="2">
                  <c:v>310.18255615234375</c:v>
                </c:pt>
                <c:pt idx="3">
                  <c:v>397.92059326171875</c:v>
                </c:pt>
                <c:pt idx="4">
                  <c:v>457.5252685546875</c:v>
                </c:pt>
                <c:pt idx="5">
                  <c:v>496.1490478515625</c:v>
                </c:pt>
                <c:pt idx="6">
                  <c:v>516.653076171875</c:v>
                </c:pt>
                <c:pt idx="7">
                  <c:v>514.7457275390625</c:v>
                </c:pt>
                <c:pt idx="8">
                  <c:v>514.7457275390625</c:v>
                </c:pt>
                <c:pt idx="9">
                  <c:v>650.1722412109375</c:v>
                </c:pt>
                <c:pt idx="10">
                  <c:v>869.04046630859375</c:v>
                </c:pt>
                <c:pt idx="11">
                  <c:v>858.0732421875</c:v>
                </c:pt>
                <c:pt idx="12">
                  <c:v>869.517333984375</c:v>
                </c:pt>
                <c:pt idx="13">
                  <c:v>914.81683349609375</c:v>
                </c:pt>
                <c:pt idx="14">
                  <c:v>971.0836181640625</c:v>
                </c:pt>
                <c:pt idx="15">
                  <c:v>1033.54931640625</c:v>
                </c:pt>
                <c:pt idx="16">
                  <c:v>1102.690673828125</c:v>
                </c:pt>
                <c:pt idx="17">
                  <c:v>1223.3304443359375</c:v>
                </c:pt>
                <c:pt idx="18">
                  <c:v>1425.0325927734375</c:v>
                </c:pt>
                <c:pt idx="19">
                  <c:v>1827.00634765625</c:v>
                </c:pt>
                <c:pt idx="20">
                  <c:v>643.97332763671875</c:v>
                </c:pt>
                <c:pt idx="21">
                  <c:v>109.43412780761719</c:v>
                </c:pt>
                <c:pt idx="22">
                  <c:v>-156.16416931152344</c:v>
                </c:pt>
                <c:pt idx="23">
                  <c:v>-303.030029296875</c:v>
                </c:pt>
                <c:pt idx="24">
                  <c:v>-399.82794189453125</c:v>
                </c:pt>
                <c:pt idx="25">
                  <c:v>-466.58514404296875</c:v>
                </c:pt>
                <c:pt idx="26">
                  <c:v>-507.1163330078125</c:v>
                </c:pt>
                <c:pt idx="27">
                  <c:v>-522.3751220703125</c:v>
                </c:pt>
                <c:pt idx="28">
                  <c:v>-528.09716796875</c:v>
                </c:pt>
                <c:pt idx="29">
                  <c:v>-613.45098876953125</c:v>
                </c:pt>
                <c:pt idx="30">
                  <c:v>-838.999755859375</c:v>
                </c:pt>
                <c:pt idx="31">
                  <c:v>-823.26409912109375</c:v>
                </c:pt>
                <c:pt idx="32">
                  <c:v>-796.56121826171875</c:v>
                </c:pt>
                <c:pt idx="33">
                  <c:v>-817.54205322265625</c:v>
                </c:pt>
                <c:pt idx="34">
                  <c:v>-866.65631103515625</c:v>
                </c:pt>
                <c:pt idx="35">
                  <c:v>-925.3072509765625</c:v>
                </c:pt>
                <c:pt idx="36">
                  <c:v>-973.94464111328125</c:v>
                </c:pt>
                <c:pt idx="37">
                  <c:v>-1011.137939453125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DA9-4FB5-BA00-9391FA3CC0DA}"/>
            </c:ext>
          </c:extLst>
        </c:ser>
        <c:ser>
          <c:idx val="3"/>
          <c:order val="3"/>
          <c:tx>
            <c:v>CV i vs E</c:v>
          </c:tx>
          <c:xVal>
            <c:numRef>
              <c:f>Sheet1!$G$3:$G$33</c:f>
              <c:numCache>
                <c:formatCode>General</c:formatCode>
                <c:ptCount val="31"/>
                <c:pt idx="0">
                  <c:v>-0.70004177093505859</c:v>
                </c:pt>
                <c:pt idx="1">
                  <c:v>-0.59004116058349609</c:v>
                </c:pt>
                <c:pt idx="2">
                  <c:v>-0.48004055023193359</c:v>
                </c:pt>
                <c:pt idx="3">
                  <c:v>-0.36996269226074219</c:v>
                </c:pt>
                <c:pt idx="4">
                  <c:v>-0.25996208190917969</c:v>
                </c:pt>
                <c:pt idx="5">
                  <c:v>-0.14996147155761719</c:v>
                </c:pt>
                <c:pt idx="6">
                  <c:v>-3.9960861206054688E-2</c:v>
                </c:pt>
                <c:pt idx="7">
                  <c:v>7.0039749145507813E-2</c:v>
                </c:pt>
                <c:pt idx="8">
                  <c:v>0.18011760711669922</c:v>
                </c:pt>
                <c:pt idx="9">
                  <c:v>0.29011821746826172</c:v>
                </c:pt>
                <c:pt idx="10">
                  <c:v>0.40011882781982422</c:v>
                </c:pt>
                <c:pt idx="11">
                  <c:v>0.51011943817138672</c:v>
                </c:pt>
                <c:pt idx="12">
                  <c:v>0.62019729614257813</c:v>
                </c:pt>
                <c:pt idx="13">
                  <c:v>0.73019790649414063</c:v>
                </c:pt>
                <c:pt idx="14">
                  <c:v>0.84019851684570313</c:v>
                </c:pt>
                <c:pt idx="15">
                  <c:v>0.95019912719726563</c:v>
                </c:pt>
                <c:pt idx="16">
                  <c:v>0.84019851684570313</c:v>
                </c:pt>
                <c:pt idx="17">
                  <c:v>0.73019790649414063</c:v>
                </c:pt>
                <c:pt idx="18">
                  <c:v>0.62019729614257813</c:v>
                </c:pt>
                <c:pt idx="19">
                  <c:v>0.51011943817138672</c:v>
                </c:pt>
                <c:pt idx="20">
                  <c:v>0.40011882781982422</c:v>
                </c:pt>
                <c:pt idx="21">
                  <c:v>0.29011821746826172</c:v>
                </c:pt>
                <c:pt idx="22">
                  <c:v>0.18011760711669922</c:v>
                </c:pt>
                <c:pt idx="23">
                  <c:v>7.0039749145507813E-2</c:v>
                </c:pt>
                <c:pt idx="24">
                  <c:v>-3.9960861206054688E-2</c:v>
                </c:pt>
                <c:pt idx="25">
                  <c:v>-0.14996147155761719</c:v>
                </c:pt>
                <c:pt idx="26">
                  <c:v>-0.25996208190917969</c:v>
                </c:pt>
                <c:pt idx="27">
                  <c:v>-0.36996269226074219</c:v>
                </c:pt>
                <c:pt idx="28">
                  <c:v>-0.48004055023193359</c:v>
                </c:pt>
                <c:pt idx="29">
                  <c:v>-0.59004116058349609</c:v>
                </c:pt>
              </c:numCache>
            </c:numRef>
          </c:xVal>
          <c:yVal>
            <c:numRef>
              <c:f>Sheet1!$H$3:$H$33</c:f>
              <c:numCache>
                <c:formatCode>General</c:formatCode>
                <c:ptCount val="31"/>
                <c:pt idx="0">
                  <c:v>-184.77439880371094</c:v>
                </c:pt>
                <c:pt idx="1">
                  <c:v>212.90779113769531</c:v>
                </c:pt>
                <c:pt idx="2">
                  <c:v>390.76806640625</c:v>
                </c:pt>
                <c:pt idx="3">
                  <c:v>499.4869384765625</c:v>
                </c:pt>
                <c:pt idx="4">
                  <c:v>569.10516357421875</c:v>
                </c:pt>
                <c:pt idx="5">
                  <c:v>602.9605712890625</c:v>
                </c:pt>
                <c:pt idx="6">
                  <c:v>600.09954833984375</c:v>
                </c:pt>
                <c:pt idx="7">
                  <c:v>631.5755615234375</c:v>
                </c:pt>
                <c:pt idx="8">
                  <c:v>925.78411865234375</c:v>
                </c:pt>
                <c:pt idx="9">
                  <c:v>965.361572265625</c:v>
                </c:pt>
                <c:pt idx="10">
                  <c:v>992.54132080078125</c:v>
                </c:pt>
                <c:pt idx="11">
                  <c:v>1067.40478515625</c:v>
                </c:pt>
                <c:pt idx="12">
                  <c:v>1154.1890869140625</c:v>
                </c:pt>
                <c:pt idx="13">
                  <c:v>1248.1259765625</c:v>
                </c:pt>
                <c:pt idx="14">
                  <c:v>1397.8529052734375</c:v>
                </c:pt>
                <c:pt idx="15">
                  <c:v>1680.6173095703125</c:v>
                </c:pt>
                <c:pt idx="16">
                  <c:v>490.427001953125</c:v>
                </c:pt>
                <c:pt idx="17">
                  <c:v>-6.9141387939453125</c:v>
                </c:pt>
                <c:pt idx="18">
                  <c:v>-248.67057800292969</c:v>
                </c:pt>
                <c:pt idx="19">
                  <c:v>-399.35113525390625</c:v>
                </c:pt>
                <c:pt idx="20">
                  <c:v>-491.38067626953125</c:v>
                </c:pt>
                <c:pt idx="21">
                  <c:v>-535.24969482421875</c:v>
                </c:pt>
                <c:pt idx="22">
                  <c:v>-557.66107177734375</c:v>
                </c:pt>
                <c:pt idx="23">
                  <c:v>-765.56683349609375</c:v>
                </c:pt>
                <c:pt idx="24">
                  <c:v>-903.37274169921875</c:v>
                </c:pt>
                <c:pt idx="25">
                  <c:v>-863.7952880859375</c:v>
                </c:pt>
                <c:pt idx="26">
                  <c:v>-892.405517578125</c:v>
                </c:pt>
                <c:pt idx="27">
                  <c:v>-964.884765625</c:v>
                </c:pt>
                <c:pt idx="28">
                  <c:v>-1042.6092529296875</c:v>
                </c:pt>
                <c:pt idx="29">
                  <c:v>-1102.690673828125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DA9-4FB5-BA00-9391FA3CC0DA}"/>
            </c:ext>
          </c:extLst>
        </c:ser>
        <c:ser>
          <c:idx val="4"/>
          <c:order val="4"/>
          <c:tx>
            <c:v>CV i vs E</c:v>
          </c:tx>
          <c:xVal>
            <c:numRef>
              <c:f>Sheet1!$I$3:$I$29</c:f>
              <c:numCache>
                <c:formatCode>General</c:formatCode>
                <c:ptCount val="27"/>
                <c:pt idx="0">
                  <c:v>-0.70004177093505859</c:v>
                </c:pt>
                <c:pt idx="1">
                  <c:v>-0.57004165649414063</c:v>
                </c:pt>
                <c:pt idx="2">
                  <c:v>-0.44004058837890625</c:v>
                </c:pt>
                <c:pt idx="3">
                  <c:v>-0.31004047393798828</c:v>
                </c:pt>
                <c:pt idx="4">
                  <c:v>-0.18003940582275391</c:v>
                </c:pt>
                <c:pt idx="5">
                  <c:v>-5.0039291381835938E-2</c:v>
                </c:pt>
                <c:pt idx="6">
                  <c:v>7.9960823059082031E-2</c:v>
                </c:pt>
                <c:pt idx="7">
                  <c:v>0.21004009246826172</c:v>
                </c:pt>
                <c:pt idx="8">
                  <c:v>0.34004020690917969</c:v>
                </c:pt>
                <c:pt idx="9">
                  <c:v>0.47004127502441406</c:v>
                </c:pt>
                <c:pt idx="10">
                  <c:v>0.60004138946533203</c:v>
                </c:pt>
                <c:pt idx="11">
                  <c:v>0.73004150390625</c:v>
                </c:pt>
                <c:pt idx="12">
                  <c:v>0.86004257202148438</c:v>
                </c:pt>
                <c:pt idx="13">
                  <c:v>0.99004268646240234</c:v>
                </c:pt>
                <c:pt idx="14">
                  <c:v>0.86004257202148438</c:v>
                </c:pt>
                <c:pt idx="15">
                  <c:v>0.73004150390625</c:v>
                </c:pt>
                <c:pt idx="16">
                  <c:v>0.60004138946533203</c:v>
                </c:pt>
                <c:pt idx="17">
                  <c:v>0.47004127502441406</c:v>
                </c:pt>
                <c:pt idx="18">
                  <c:v>0.34004020690917969</c:v>
                </c:pt>
                <c:pt idx="19">
                  <c:v>0.21004009246826172</c:v>
                </c:pt>
                <c:pt idx="20">
                  <c:v>7.9960823059082031E-2</c:v>
                </c:pt>
                <c:pt idx="21">
                  <c:v>-5.0039291381835938E-2</c:v>
                </c:pt>
                <c:pt idx="22">
                  <c:v>-0.18003940582275391</c:v>
                </c:pt>
                <c:pt idx="23">
                  <c:v>-0.31004047393798828</c:v>
                </c:pt>
                <c:pt idx="24">
                  <c:v>-0.44004058837890625</c:v>
                </c:pt>
                <c:pt idx="25">
                  <c:v>-0.57004165649414063</c:v>
                </c:pt>
              </c:numCache>
            </c:numRef>
          </c:xVal>
          <c:yVal>
            <c:numRef>
              <c:f>Sheet1!$J$3:$J$29</c:f>
              <c:numCache>
                <c:formatCode>General</c:formatCode>
                <c:ptCount val="27"/>
                <c:pt idx="0">
                  <c:v>-153.30314636230469</c:v>
                </c:pt>
                <c:pt idx="1">
                  <c:v>309.70574951171875</c:v>
                </c:pt>
                <c:pt idx="2">
                  <c:v>516.17620849609375</c:v>
                </c:pt>
                <c:pt idx="3">
                  <c:v>638.25128173828125</c:v>
                </c:pt>
                <c:pt idx="4">
                  <c:v>705.4853515625</c:v>
                </c:pt>
                <c:pt idx="5">
                  <c:v>718.35992431640625</c:v>
                </c:pt>
                <c:pt idx="6">
                  <c:v>763.65948486328125</c:v>
                </c:pt>
                <c:pt idx="7">
                  <c:v>1107.9359130859375</c:v>
                </c:pt>
                <c:pt idx="8">
                  <c:v>1118.42626953125</c:v>
                </c:pt>
                <c:pt idx="9">
                  <c:v>1181.3687744140625</c:v>
                </c:pt>
                <c:pt idx="10">
                  <c:v>1281.504638671875</c:v>
                </c:pt>
                <c:pt idx="11">
                  <c:v>1397.3760986328125</c:v>
                </c:pt>
                <c:pt idx="12">
                  <c:v>1587.634033203125</c:v>
                </c:pt>
                <c:pt idx="13">
                  <c:v>2006.7786865234375</c:v>
                </c:pt>
                <c:pt idx="14">
                  <c:v>532.388671875</c:v>
                </c:pt>
                <c:pt idx="15">
                  <c:v>-63.180923461914063</c:v>
                </c:pt>
                <c:pt idx="16">
                  <c:v>-343.5611572265625</c:v>
                </c:pt>
                <c:pt idx="17">
                  <c:v>-511.88470458984375</c:v>
                </c:pt>
                <c:pt idx="18">
                  <c:v>-604.39111328125</c:v>
                </c:pt>
                <c:pt idx="19">
                  <c:v>-639.2049560546875</c:v>
                </c:pt>
                <c:pt idx="20">
                  <c:v>-822.78729248046875</c:v>
                </c:pt>
                <c:pt idx="21">
                  <c:v>-1020.1978759765625</c:v>
                </c:pt>
                <c:pt idx="22">
                  <c:v>-982.0509033203125</c:v>
                </c:pt>
                <c:pt idx="23">
                  <c:v>-1037.8408203125</c:v>
                </c:pt>
                <c:pt idx="24">
                  <c:v>-1140.36083984375</c:v>
                </c:pt>
                <c:pt idx="25">
                  <c:v>-1233.8209228515625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DA9-4FB5-BA00-9391FA3CC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1.0105113983154297"/>
          <c:min val="-0.7000417709350585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layout/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053917484029659"/>
          <c:h val="0.30672936605818446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Scan rate Vs Current</a:t>
            </a:r>
          </a:p>
          <a:p>
            <a:pPr>
              <a:defRPr/>
            </a:pPr>
            <a:r>
              <a:rPr lang="en-US"/>
              <a:t> @0.21V</a:t>
            </a:r>
          </a:p>
          <a:p>
            <a:pPr>
              <a:defRPr/>
            </a:pPr>
            <a:r>
              <a:rPr lang="en-US"/>
              <a:t>@ Oxidation Peak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Sheet1!$M$26:$M$30</c:f>
              <c:numCache>
                <c:formatCode>General</c:formatCode>
                <c:ptCount val="5"/>
                <c:pt idx="0">
                  <c:v>50</c:v>
                </c:pt>
                <c:pt idx="1">
                  <c:v>70</c:v>
                </c:pt>
                <c:pt idx="2">
                  <c:v>90</c:v>
                </c:pt>
                <c:pt idx="3">
                  <c:v>110</c:v>
                </c:pt>
                <c:pt idx="4">
                  <c:v>130</c:v>
                </c:pt>
              </c:numCache>
            </c:numRef>
          </c:xVal>
          <c:yVal>
            <c:numRef>
              <c:f>Sheet1!$N$26:$N$30</c:f>
              <c:numCache>
                <c:formatCode>General</c:formatCode>
                <c:ptCount val="5"/>
                <c:pt idx="0">
                  <c:v>540</c:v>
                </c:pt>
                <c:pt idx="1">
                  <c:v>710</c:v>
                </c:pt>
                <c:pt idx="2">
                  <c:v>870</c:v>
                </c:pt>
                <c:pt idx="3">
                  <c:v>925</c:v>
                </c:pt>
                <c:pt idx="4">
                  <c:v>1107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D2-490C-ADF2-BEC5B7948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710576"/>
        <c:axId val="1920708912"/>
      </c:scatterChart>
      <c:valAx>
        <c:axId val="192071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Scan Rate mV/s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708912"/>
        <c:crosses val="autoZero"/>
        <c:crossBetween val="midCat"/>
      </c:valAx>
      <c:valAx>
        <c:axId val="192070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  (uA)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71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492760</xdr:colOff>
      <xdr:row>0</xdr:row>
      <xdr:rowOff>30480</xdr:rowOff>
    </xdr:from>
    <xdr:to>
      <xdr:col>23</xdr:col>
      <xdr:colOff>187960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575930</xdr:colOff>
      <xdr:row>21</xdr:row>
      <xdr:rowOff>68225</xdr:rowOff>
    </xdr:from>
    <xdr:to>
      <xdr:col>22</xdr:col>
      <xdr:colOff>256953</xdr:colOff>
      <xdr:row>36</xdr:row>
      <xdr:rowOff>20378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tabSelected="1" topLeftCell="D12" zoomScale="106" workbookViewId="0">
      <selection activeCell="N35" sqref="N35"/>
    </sheetView>
  </sheetViews>
  <sheetFormatPr defaultRowHeight="14.4" x14ac:dyDescent="0.3"/>
  <sheetData>
    <row r="1" spans="1:10" x14ac:dyDescent="0.3">
      <c r="A1" t="s">
        <v>0</v>
      </c>
      <c r="C1" t="s">
        <v>0</v>
      </c>
      <c r="E1" t="s">
        <v>0</v>
      </c>
      <c r="G1" t="s">
        <v>0</v>
      </c>
      <c r="I1" t="s">
        <v>0</v>
      </c>
    </row>
    <row r="2" spans="1:10" x14ac:dyDescent="0.3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</row>
    <row r="3" spans="1:10" x14ac:dyDescent="0.3">
      <c r="A3">
        <v>-0.70004177093505859</v>
      </c>
      <c r="B3">
        <v>-193.83430480957031</v>
      </c>
      <c r="C3">
        <v>-0.70004177093505859</v>
      </c>
      <c r="D3">
        <v>-183.82072448730469</v>
      </c>
      <c r="E3">
        <v>-0.70004177093505859</v>
      </c>
      <c r="F3">
        <v>-153.30314636230469</v>
      </c>
      <c r="G3">
        <v>-0.70004177093505859</v>
      </c>
      <c r="H3">
        <v>-184.77439880371094</v>
      </c>
      <c r="I3">
        <v>-0.70004177093505859</v>
      </c>
      <c r="J3">
        <v>-153.30314636230469</v>
      </c>
    </row>
    <row r="4" spans="1:10" x14ac:dyDescent="0.3">
      <c r="A4">
        <v>-0.65004158020019531</v>
      </c>
      <c r="B4">
        <v>-5.0067901611328125</v>
      </c>
      <c r="C4">
        <v>-0.62996292114257813</v>
      </c>
      <c r="D4">
        <v>72.717666625976563</v>
      </c>
      <c r="E4">
        <v>-0.61004161834716797</v>
      </c>
      <c r="F4">
        <v>168.56193542480469</v>
      </c>
      <c r="G4">
        <v>-0.59004116058349609</v>
      </c>
      <c r="H4">
        <v>212.90779113769531</v>
      </c>
      <c r="I4">
        <v>-0.57004165649414063</v>
      </c>
      <c r="J4">
        <v>309.70574951171875</v>
      </c>
    </row>
    <row r="5" spans="1:10" x14ac:dyDescent="0.3">
      <c r="A5">
        <v>-0.60011959075927734</v>
      </c>
      <c r="B5">
        <v>79.870223999023438</v>
      </c>
      <c r="C5">
        <v>-0.55996322631835938</v>
      </c>
      <c r="D5">
        <v>186.68174743652344</v>
      </c>
      <c r="E5">
        <v>-0.51996326446533203</v>
      </c>
      <c r="F5">
        <v>310.18255615234375</v>
      </c>
      <c r="G5">
        <v>-0.48004055023193359</v>
      </c>
      <c r="H5">
        <v>390.76806640625</v>
      </c>
      <c r="I5">
        <v>-0.44004058837890625</v>
      </c>
      <c r="J5">
        <v>516.17620849609375</v>
      </c>
    </row>
    <row r="6" spans="1:10" x14ac:dyDescent="0.3">
      <c r="A6">
        <v>-0.55011940002441406</v>
      </c>
      <c r="B6">
        <v>132.79914855957031</v>
      </c>
      <c r="C6">
        <v>-0.48988437652587891</v>
      </c>
      <c r="D6">
        <v>257.73046875</v>
      </c>
      <c r="E6">
        <v>-0.429962158203125</v>
      </c>
      <c r="F6">
        <v>397.92059326171875</v>
      </c>
      <c r="G6">
        <v>-0.36996269226074219</v>
      </c>
      <c r="H6">
        <v>499.4869384765625</v>
      </c>
      <c r="I6">
        <v>-0.31004047393798828</v>
      </c>
      <c r="J6">
        <v>638.25128173828125</v>
      </c>
    </row>
    <row r="7" spans="1:10" x14ac:dyDescent="0.3">
      <c r="A7">
        <v>-0.50011920928955078</v>
      </c>
      <c r="B7">
        <v>171.42295837402344</v>
      </c>
      <c r="C7">
        <v>-0.41988468170166016</v>
      </c>
      <c r="D7">
        <v>308.7520751953125</v>
      </c>
      <c r="E7">
        <v>-0.33996200561523438</v>
      </c>
      <c r="F7">
        <v>457.5252685546875</v>
      </c>
      <c r="G7">
        <v>-0.25996208190917969</v>
      </c>
      <c r="H7">
        <v>569.10516357421875</v>
      </c>
      <c r="I7">
        <v>-0.18003940582275391</v>
      </c>
      <c r="J7">
        <v>705.4853515625</v>
      </c>
    </row>
    <row r="8" spans="1:10" x14ac:dyDescent="0.3">
      <c r="A8">
        <v>-0.45019721984863281</v>
      </c>
      <c r="B8">
        <v>201.94053649902344</v>
      </c>
      <c r="C8">
        <v>-0.349884033203125</v>
      </c>
      <c r="D8">
        <v>347.3758544921875</v>
      </c>
      <c r="E8">
        <v>-0.24988365173339844</v>
      </c>
      <c r="F8">
        <v>496.1490478515625</v>
      </c>
      <c r="G8">
        <v>-0.14996147155761719</v>
      </c>
      <c r="H8">
        <v>602.9605712890625</v>
      </c>
      <c r="I8">
        <v>-5.0039291381835938E-2</v>
      </c>
      <c r="J8">
        <v>718.35992431640625</v>
      </c>
    </row>
    <row r="9" spans="1:10" x14ac:dyDescent="0.3">
      <c r="A9">
        <v>-0.40019702911376953</v>
      </c>
      <c r="B9">
        <v>225.78239440917969</v>
      </c>
      <c r="C9">
        <v>-0.27980613708496094</v>
      </c>
      <c r="D9">
        <v>373.6019287109375</v>
      </c>
      <c r="E9">
        <v>-0.15988349914550781</v>
      </c>
      <c r="F9">
        <v>516.653076171875</v>
      </c>
      <c r="G9">
        <v>-3.9960861206054688E-2</v>
      </c>
      <c r="H9">
        <v>600.09954833984375</v>
      </c>
      <c r="I9">
        <v>7.9960823059082031E-2</v>
      </c>
      <c r="J9">
        <v>763.65948486328125</v>
      </c>
    </row>
    <row r="10" spans="1:10" x14ac:dyDescent="0.3">
      <c r="A10">
        <v>-0.35019683837890625</v>
      </c>
      <c r="B10">
        <v>245.33271789550781</v>
      </c>
      <c r="C10">
        <v>-0.20980548858642578</v>
      </c>
      <c r="D10">
        <v>391.244873046875</v>
      </c>
      <c r="E10">
        <v>-6.9883346557617188E-2</v>
      </c>
      <c r="F10">
        <v>514.7457275390625</v>
      </c>
      <c r="G10">
        <v>7.0039749145507813E-2</v>
      </c>
      <c r="H10">
        <v>631.5755615234375</v>
      </c>
      <c r="I10">
        <v>0.21004009246826172</v>
      </c>
      <c r="J10">
        <v>1107.9359130859375</v>
      </c>
    </row>
    <row r="11" spans="1:10" x14ac:dyDescent="0.3">
      <c r="A11">
        <v>-0.30027484893798828</v>
      </c>
      <c r="B11">
        <v>260.59149169921875</v>
      </c>
      <c r="C11">
        <v>-0.13972663879394531</v>
      </c>
      <c r="D11">
        <v>395.53643798828125</v>
      </c>
      <c r="E11">
        <v>2.019500732421875E-2</v>
      </c>
      <c r="F11">
        <v>514.7457275390625</v>
      </c>
      <c r="G11">
        <v>0.18011760711669922</v>
      </c>
      <c r="H11">
        <v>925.78411865234375</v>
      </c>
      <c r="I11">
        <v>0.34004020690917969</v>
      </c>
      <c r="J11">
        <v>1118.42626953125</v>
      </c>
    </row>
    <row r="12" spans="1:10" x14ac:dyDescent="0.3">
      <c r="A12">
        <v>-0.250274658203125</v>
      </c>
      <c r="B12">
        <v>271.0819091796875</v>
      </c>
      <c r="C12">
        <v>-6.9726943969726563E-2</v>
      </c>
      <c r="D12">
        <v>387.90704345703125</v>
      </c>
      <c r="E12">
        <v>0.11019611358642578</v>
      </c>
      <c r="F12">
        <v>650.1722412109375</v>
      </c>
      <c r="G12">
        <v>0.29011821746826172</v>
      </c>
      <c r="H12">
        <v>965.361572265625</v>
      </c>
      <c r="I12">
        <v>0.47004127502441406</v>
      </c>
      <c r="J12">
        <v>1181.3687744140625</v>
      </c>
    </row>
    <row r="13" spans="1:10" x14ac:dyDescent="0.3">
      <c r="A13">
        <v>-0.20027446746826172</v>
      </c>
      <c r="B13">
        <v>277.28082275390625</v>
      </c>
      <c r="C13">
        <v>3.5190582275390625E-4</v>
      </c>
      <c r="D13">
        <v>384.56915283203125</v>
      </c>
      <c r="E13">
        <v>0.20027446746826172</v>
      </c>
      <c r="F13">
        <v>869.04046630859375</v>
      </c>
      <c r="G13">
        <v>0.40011882781982422</v>
      </c>
      <c r="H13">
        <v>992.54132080078125</v>
      </c>
      <c r="I13">
        <v>0.60004138946533203</v>
      </c>
      <c r="J13">
        <v>1281.504638671875</v>
      </c>
    </row>
    <row r="14" spans="1:10" x14ac:dyDescent="0.3">
      <c r="A14">
        <v>-0.15035247802734375</v>
      </c>
      <c r="B14">
        <v>275.37347412109375</v>
      </c>
      <c r="C14">
        <v>7.0351600646972656E-2</v>
      </c>
      <c r="D14">
        <v>434.6370849609375</v>
      </c>
      <c r="E14">
        <v>0.29027462005615234</v>
      </c>
      <c r="F14">
        <v>858.0732421875</v>
      </c>
      <c r="G14">
        <v>0.51011943817138672</v>
      </c>
      <c r="H14">
        <v>1067.40478515625</v>
      </c>
      <c r="I14">
        <v>0.73004150390625</v>
      </c>
      <c r="J14">
        <v>1397.3760986328125</v>
      </c>
    </row>
    <row r="15" spans="1:10" x14ac:dyDescent="0.3">
      <c r="A15">
        <v>-0.10035228729248047</v>
      </c>
      <c r="B15">
        <v>268.69775390625</v>
      </c>
      <c r="C15">
        <v>0.14043045043945313</v>
      </c>
      <c r="D15">
        <v>623.94140625</v>
      </c>
      <c r="E15">
        <v>0.38027477264404297</v>
      </c>
      <c r="F15">
        <v>869.517333984375</v>
      </c>
      <c r="G15">
        <v>0.62019729614257813</v>
      </c>
      <c r="H15">
        <v>1154.1890869140625</v>
      </c>
      <c r="I15">
        <v>0.86004257202148438</v>
      </c>
      <c r="J15">
        <v>1587.634033203125</v>
      </c>
    </row>
    <row r="16" spans="1:10" x14ac:dyDescent="0.3">
      <c r="A16">
        <v>-5.04302978515625E-2</v>
      </c>
      <c r="B16">
        <v>262.02203369140625</v>
      </c>
      <c r="C16">
        <v>0.21043014526367188</v>
      </c>
      <c r="D16">
        <v>710.73052978515625</v>
      </c>
      <c r="E16">
        <v>0.47035312652587891</v>
      </c>
      <c r="F16">
        <v>914.81683349609375</v>
      </c>
      <c r="G16">
        <v>0.73019790649414063</v>
      </c>
      <c r="H16">
        <v>1248.1259765625</v>
      </c>
      <c r="I16">
        <v>0.99004268646240234</v>
      </c>
      <c r="J16">
        <v>2006.7786865234375</v>
      </c>
    </row>
    <row r="17" spans="1:14" x14ac:dyDescent="0.3">
      <c r="A17">
        <v>-4.3010711669921875E-4</v>
      </c>
      <c r="B17">
        <v>263.4525146484375</v>
      </c>
      <c r="C17">
        <v>0.28050899505615234</v>
      </c>
      <c r="D17">
        <v>693.08758544921875</v>
      </c>
      <c r="E17">
        <v>0.56035327911376953</v>
      </c>
      <c r="F17">
        <v>971.0836181640625</v>
      </c>
      <c r="G17">
        <v>0.84019851684570313</v>
      </c>
      <c r="H17">
        <v>1397.8529052734375</v>
      </c>
      <c r="I17">
        <v>0.86004257202148438</v>
      </c>
      <c r="J17">
        <v>532.388671875</v>
      </c>
    </row>
    <row r="18" spans="1:14" x14ac:dyDescent="0.3">
      <c r="A18">
        <v>4.9570083618164063E-2</v>
      </c>
      <c r="B18">
        <v>292.062744140625</v>
      </c>
      <c r="C18">
        <v>0.3505096435546875</v>
      </c>
      <c r="D18">
        <v>702.62432861328125</v>
      </c>
      <c r="E18">
        <v>0.65035438537597656</v>
      </c>
      <c r="F18">
        <v>1033.54931640625</v>
      </c>
      <c r="G18">
        <v>0.95019912719726563</v>
      </c>
      <c r="H18">
        <v>1680.6173095703125</v>
      </c>
      <c r="I18">
        <v>0.73004150390625</v>
      </c>
      <c r="J18">
        <v>-63.180923461914063</v>
      </c>
    </row>
    <row r="19" spans="1:14" x14ac:dyDescent="0.3">
      <c r="A19">
        <v>9.9493026733398438E-2</v>
      </c>
      <c r="B19">
        <v>394.10589599609375</v>
      </c>
      <c r="C19">
        <v>0.42058753967285156</v>
      </c>
      <c r="D19">
        <v>734.0955810546875</v>
      </c>
      <c r="E19">
        <v>0.7404327392578125</v>
      </c>
      <c r="F19">
        <v>1102.690673828125</v>
      </c>
      <c r="G19">
        <v>0.84019851684570313</v>
      </c>
      <c r="H19">
        <v>490.427001953125</v>
      </c>
      <c r="I19">
        <v>0.60004138946533203</v>
      </c>
      <c r="J19">
        <v>-343.5611572265625</v>
      </c>
    </row>
    <row r="20" spans="1:14" x14ac:dyDescent="0.3">
      <c r="A20">
        <v>0.14949321746826172</v>
      </c>
      <c r="B20">
        <v>521.89825439453125</v>
      </c>
      <c r="C20">
        <v>0.49058818817138672</v>
      </c>
      <c r="D20">
        <v>773.67303466796875</v>
      </c>
      <c r="E20">
        <v>0.83043289184570313</v>
      </c>
      <c r="F20">
        <v>1223.3304443359375</v>
      </c>
      <c r="G20">
        <v>0.73019790649414063</v>
      </c>
      <c r="H20">
        <v>-6.9141387939453125</v>
      </c>
      <c r="I20">
        <v>0.47004127502441406</v>
      </c>
      <c r="J20">
        <v>-511.88470458984375</v>
      </c>
    </row>
    <row r="21" spans="1:14" x14ac:dyDescent="0.3">
      <c r="A21">
        <v>0.199493408203125</v>
      </c>
      <c r="B21">
        <v>552.41583251953125</v>
      </c>
      <c r="C21">
        <v>0.56066608428955078</v>
      </c>
      <c r="D21">
        <v>815.15789794921875</v>
      </c>
      <c r="E21">
        <v>0.92043304443359375</v>
      </c>
      <c r="F21">
        <v>1425.0325927734375</v>
      </c>
      <c r="G21">
        <v>0.62019729614257813</v>
      </c>
      <c r="H21">
        <v>-248.67057800292969</v>
      </c>
      <c r="I21">
        <v>0.34004020690917969</v>
      </c>
      <c r="J21">
        <v>-604.39111328125</v>
      </c>
    </row>
    <row r="22" spans="1:14" x14ac:dyDescent="0.3">
      <c r="A22">
        <v>0.24941539764404297</v>
      </c>
      <c r="B22">
        <v>537.15704345703125</v>
      </c>
      <c r="C22">
        <v>0.63066673278808594</v>
      </c>
      <c r="D22">
        <v>861.887939453125</v>
      </c>
      <c r="E22">
        <v>1.0105113983154297</v>
      </c>
      <c r="F22">
        <v>1827.00634765625</v>
      </c>
      <c r="G22">
        <v>0.51011943817138672</v>
      </c>
      <c r="H22">
        <v>-399.35113525390625</v>
      </c>
      <c r="I22">
        <v>0.21004009246826172</v>
      </c>
      <c r="J22">
        <v>-639.2049560546875</v>
      </c>
    </row>
    <row r="23" spans="1:14" x14ac:dyDescent="0.3">
      <c r="A23">
        <v>0.29941558837890625</v>
      </c>
      <c r="B23">
        <v>533.8192138671875</v>
      </c>
      <c r="C23">
        <v>0.70074462890625</v>
      </c>
      <c r="D23">
        <v>908.61798095703125</v>
      </c>
      <c r="E23">
        <v>0.92043304443359375</v>
      </c>
      <c r="F23">
        <v>643.97332763671875</v>
      </c>
      <c r="G23">
        <v>0.40011882781982422</v>
      </c>
      <c r="H23">
        <v>-491.38067626953125</v>
      </c>
      <c r="I23">
        <v>7.9960823059082031E-2</v>
      </c>
      <c r="J23">
        <v>-822.78729248046875</v>
      </c>
    </row>
    <row r="24" spans="1:14" x14ac:dyDescent="0.3">
      <c r="A24">
        <v>0.34941577911376953</v>
      </c>
      <c r="B24">
        <v>547.170654296875</v>
      </c>
      <c r="C24">
        <v>0.77074527740478516</v>
      </c>
      <c r="D24">
        <v>975.85198974609375</v>
      </c>
      <c r="E24">
        <v>0.83043289184570313</v>
      </c>
      <c r="F24">
        <v>109.43412780761719</v>
      </c>
      <c r="G24">
        <v>0.29011821746826172</v>
      </c>
      <c r="H24">
        <v>-535.24969482421875</v>
      </c>
      <c r="I24">
        <v>-5.0039291381835938E-2</v>
      </c>
      <c r="J24">
        <v>-1020.1978759765625</v>
      </c>
      <c r="L24" t="s">
        <v>3</v>
      </c>
      <c r="M24" t="s">
        <v>4</v>
      </c>
      <c r="N24" t="s">
        <v>7</v>
      </c>
    </row>
    <row r="25" spans="1:14" x14ac:dyDescent="0.3">
      <c r="A25">
        <v>0.3993377685546875</v>
      </c>
      <c r="B25">
        <v>568.1514892578125</v>
      </c>
      <c r="C25">
        <v>0.84082317352294922</v>
      </c>
      <c r="D25">
        <v>1076.9415283203125</v>
      </c>
      <c r="E25">
        <v>0.7404327392578125</v>
      </c>
      <c r="F25">
        <v>-156.16416931152344</v>
      </c>
      <c r="G25">
        <v>0.18011760711669922</v>
      </c>
      <c r="H25">
        <v>-557.66107177734375</v>
      </c>
      <c r="I25">
        <v>-0.18003940582275391</v>
      </c>
      <c r="J25">
        <v>-982.0509033203125</v>
      </c>
      <c r="M25" t="s">
        <v>5</v>
      </c>
      <c r="N25" t="s">
        <v>6</v>
      </c>
    </row>
    <row r="26" spans="1:14" x14ac:dyDescent="0.3">
      <c r="A26">
        <v>0.44933795928955078</v>
      </c>
      <c r="B26">
        <v>591.0396728515625</v>
      </c>
      <c r="C26">
        <v>0.91082382202148438</v>
      </c>
      <c r="D26">
        <v>1232.8671875</v>
      </c>
      <c r="E26">
        <v>0.65035438537597656</v>
      </c>
      <c r="F26">
        <v>-303.030029296875</v>
      </c>
      <c r="G26">
        <v>7.0039749145507813E-2</v>
      </c>
      <c r="H26">
        <v>-765.56683349609375</v>
      </c>
      <c r="I26">
        <v>-0.31004047393798828</v>
      </c>
      <c r="J26">
        <v>-1037.8408203125</v>
      </c>
      <c r="M26">
        <f>50</f>
        <v>50</v>
      </c>
      <c r="N26">
        <f>540</f>
        <v>540</v>
      </c>
    </row>
    <row r="27" spans="1:14" x14ac:dyDescent="0.3">
      <c r="A27">
        <v>0.49933815002441406</v>
      </c>
      <c r="B27">
        <v>617.26568603515625</v>
      </c>
      <c r="C27">
        <v>0.98090267181396484</v>
      </c>
      <c r="D27">
        <v>1497.9886474609375</v>
      </c>
      <c r="E27">
        <v>0.56035327911376953</v>
      </c>
      <c r="F27">
        <v>-399.82794189453125</v>
      </c>
      <c r="G27">
        <v>-3.9960861206054688E-2</v>
      </c>
      <c r="H27">
        <v>-903.37274169921875</v>
      </c>
      <c r="I27">
        <v>-0.44004058837890625</v>
      </c>
      <c r="J27">
        <v>-1140.36083984375</v>
      </c>
      <c r="M27">
        <f>70</f>
        <v>70</v>
      </c>
      <c r="N27">
        <f>710</f>
        <v>710</v>
      </c>
    </row>
    <row r="28" spans="1:14" x14ac:dyDescent="0.3">
      <c r="A28">
        <v>0.54926013946533203</v>
      </c>
      <c r="B28">
        <v>643.0196533203125</v>
      </c>
      <c r="C28">
        <v>0.91082382202148438</v>
      </c>
      <c r="D28">
        <v>603.43743896484375</v>
      </c>
      <c r="E28">
        <v>0.47035312652587891</v>
      </c>
      <c r="F28">
        <v>-466.58514404296875</v>
      </c>
      <c r="G28">
        <v>-0.14996147155761719</v>
      </c>
      <c r="H28">
        <v>-863.7952880859375</v>
      </c>
      <c r="I28">
        <v>-0.57004165649414063</v>
      </c>
      <c r="J28">
        <v>-1233.8209228515625</v>
      </c>
      <c r="M28">
        <f>90</f>
        <v>90</v>
      </c>
      <c r="N28">
        <f>870</f>
        <v>870</v>
      </c>
    </row>
    <row r="29" spans="1:14" x14ac:dyDescent="0.3">
      <c r="A29">
        <v>0.59926033020019531</v>
      </c>
      <c r="B29">
        <v>670.67620849609375</v>
      </c>
      <c r="C29">
        <v>0.84082317352294922</v>
      </c>
      <c r="D29">
        <v>170.94612121582031</v>
      </c>
      <c r="E29">
        <v>0.38027477264404297</v>
      </c>
      <c r="F29">
        <v>-507.1163330078125</v>
      </c>
      <c r="G29">
        <v>-0.25996208190917969</v>
      </c>
      <c r="H29">
        <v>-892.405517578125</v>
      </c>
      <c r="M29">
        <f>110</f>
        <v>110</v>
      </c>
      <c r="N29">
        <f>925</f>
        <v>925</v>
      </c>
    </row>
    <row r="30" spans="1:14" x14ac:dyDescent="0.3">
      <c r="A30">
        <v>0.64926052093505859</v>
      </c>
      <c r="B30">
        <v>698.80963134765625</v>
      </c>
      <c r="C30">
        <v>0.77074527740478516</v>
      </c>
      <c r="D30">
        <v>-56.505203247070313</v>
      </c>
      <c r="E30">
        <v>0.29027462005615234</v>
      </c>
      <c r="F30">
        <v>-522.3751220703125</v>
      </c>
      <c r="G30">
        <v>-0.36996269226074219</v>
      </c>
      <c r="H30">
        <v>-964.884765625</v>
      </c>
      <c r="M30">
        <f>130</f>
        <v>130</v>
      </c>
      <c r="N30">
        <f>1107</f>
        <v>1107</v>
      </c>
    </row>
    <row r="31" spans="1:14" x14ac:dyDescent="0.3">
      <c r="A31">
        <v>0.69918251037597656</v>
      </c>
      <c r="B31">
        <v>730.2808837890625</v>
      </c>
      <c r="C31">
        <v>0.70074462890625</v>
      </c>
      <c r="D31">
        <v>-188.11225891113281</v>
      </c>
      <c r="E31">
        <v>0.20027446746826172</v>
      </c>
      <c r="F31">
        <v>-528.09716796875</v>
      </c>
      <c r="G31">
        <v>-0.48004055023193359</v>
      </c>
      <c r="H31">
        <v>-1042.6092529296875</v>
      </c>
    </row>
    <row r="32" spans="1:14" x14ac:dyDescent="0.3">
      <c r="A32">
        <v>0.74918270111083984</v>
      </c>
      <c r="B32">
        <v>774.14990234375</v>
      </c>
      <c r="C32">
        <v>0.63066673278808594</v>
      </c>
      <c r="D32">
        <v>-269.174560546875</v>
      </c>
      <c r="E32">
        <v>0.11019611358642578</v>
      </c>
      <c r="F32">
        <v>-613.45098876953125</v>
      </c>
      <c r="G32">
        <v>-0.59004116058349609</v>
      </c>
      <c r="H32">
        <v>-1102.690673828125</v>
      </c>
    </row>
    <row r="33" spans="1:6" x14ac:dyDescent="0.3">
      <c r="A33">
        <v>0.79918289184570313</v>
      </c>
      <c r="B33">
        <v>831.370361328125</v>
      </c>
      <c r="C33">
        <v>0.56066608428955078</v>
      </c>
      <c r="D33">
        <v>-331.16339111328125</v>
      </c>
      <c r="E33">
        <v>2.019500732421875E-2</v>
      </c>
      <c r="F33">
        <v>-838.999755859375</v>
      </c>
    </row>
    <row r="34" spans="1:6" x14ac:dyDescent="0.3">
      <c r="A34">
        <v>0.84910488128662109</v>
      </c>
      <c r="B34">
        <v>905.28009033203125</v>
      </c>
      <c r="C34">
        <v>0.49058818817138672</v>
      </c>
      <c r="D34">
        <v>-374.55560302734375</v>
      </c>
      <c r="E34">
        <v>-6.9883346557617188E-2</v>
      </c>
      <c r="F34">
        <v>-823.26409912109375</v>
      </c>
    </row>
    <row r="35" spans="1:6" x14ac:dyDescent="0.3">
      <c r="A35">
        <v>0.89910507202148438</v>
      </c>
      <c r="B35">
        <v>1012.0916137695313</v>
      </c>
      <c r="C35">
        <v>0.42058753967285156</v>
      </c>
      <c r="D35">
        <v>-406.02685546875</v>
      </c>
      <c r="E35">
        <v>-0.15988349914550781</v>
      </c>
      <c r="F35">
        <v>-796.56121826171875</v>
      </c>
    </row>
    <row r="36" spans="1:6" x14ac:dyDescent="0.3">
      <c r="A36">
        <v>0.94902706146240234</v>
      </c>
      <c r="B36">
        <v>1172.3089599609375</v>
      </c>
      <c r="C36">
        <v>0.3505096435546875</v>
      </c>
      <c r="D36">
        <v>-419.3782958984375</v>
      </c>
      <c r="E36">
        <v>-0.24988365173339844</v>
      </c>
      <c r="F36">
        <v>-817.54205322265625</v>
      </c>
    </row>
    <row r="37" spans="1:6" x14ac:dyDescent="0.3">
      <c r="A37">
        <v>0.99902725219726563</v>
      </c>
      <c r="B37">
        <v>1426.93994140625</v>
      </c>
      <c r="C37">
        <v>0.28050899505615234</v>
      </c>
      <c r="D37">
        <v>-423.6697998046875</v>
      </c>
      <c r="E37">
        <v>-0.33996200561523438</v>
      </c>
      <c r="F37">
        <v>-866.65631103515625</v>
      </c>
    </row>
    <row r="38" spans="1:6" x14ac:dyDescent="0.3">
      <c r="A38">
        <v>0.94902706146240234</v>
      </c>
      <c r="B38">
        <v>695.47174072265625</v>
      </c>
      <c r="C38">
        <v>0.21043014526367188</v>
      </c>
      <c r="D38">
        <v>-424.62347412109375</v>
      </c>
      <c r="E38">
        <v>-0.429962158203125</v>
      </c>
      <c r="F38">
        <v>-925.3072509765625</v>
      </c>
    </row>
    <row r="39" spans="1:6" x14ac:dyDescent="0.3">
      <c r="A39">
        <v>0.89910507202148438</v>
      </c>
      <c r="B39">
        <v>293.4932861328125</v>
      </c>
      <c r="C39">
        <v>0.14043045043945313</v>
      </c>
      <c r="D39">
        <v>-458.47894287109375</v>
      </c>
      <c r="E39">
        <v>-0.51996326446533203</v>
      </c>
      <c r="F39">
        <v>-973.94464111328125</v>
      </c>
    </row>
    <row r="40" spans="1:6" x14ac:dyDescent="0.3">
      <c r="A40">
        <v>0.84910488128662109</v>
      </c>
      <c r="B40">
        <v>72.240829467773438</v>
      </c>
      <c r="C40">
        <v>7.0351600646972656E-2</v>
      </c>
      <c r="D40">
        <v>-619.17303466796875</v>
      </c>
      <c r="E40">
        <v>-0.61004161834716797</v>
      </c>
      <c r="F40">
        <v>-1011.137939453125</v>
      </c>
    </row>
    <row r="41" spans="1:6" x14ac:dyDescent="0.3">
      <c r="A41">
        <v>0.79918289184570313</v>
      </c>
      <c r="B41">
        <v>-60.796737670898438</v>
      </c>
      <c r="C41">
        <v>3.5190582275390625E-4</v>
      </c>
      <c r="D41">
        <v>-720.26727294921875</v>
      </c>
    </row>
    <row r="42" spans="1:6" x14ac:dyDescent="0.3">
      <c r="A42">
        <v>0.74918270111083984</v>
      </c>
      <c r="B42">
        <v>-147.10426330566406</v>
      </c>
      <c r="C42">
        <v>-6.9726943969726563E-2</v>
      </c>
      <c r="D42">
        <v>-687.84234619140625</v>
      </c>
    </row>
    <row r="43" spans="1:6" x14ac:dyDescent="0.3">
      <c r="A43">
        <v>0.69918251037597656</v>
      </c>
      <c r="B43">
        <v>-206.70890808105469</v>
      </c>
      <c r="C43">
        <v>-0.13972663879394531</v>
      </c>
      <c r="D43">
        <v>-665.9078369140625</v>
      </c>
    </row>
    <row r="44" spans="1:6" x14ac:dyDescent="0.3">
      <c r="A44">
        <v>0.64926052093505859</v>
      </c>
      <c r="B44">
        <v>-246.76322937011719</v>
      </c>
      <c r="C44">
        <v>-0.20980548858642578</v>
      </c>
      <c r="D44">
        <v>-672.58355712890625</v>
      </c>
    </row>
    <row r="45" spans="1:6" x14ac:dyDescent="0.3">
      <c r="A45">
        <v>0.59926033020019531</v>
      </c>
      <c r="B45">
        <v>-278.2344970703125</v>
      </c>
      <c r="C45">
        <v>-0.27980613708496094</v>
      </c>
      <c r="D45">
        <v>-699.28643798828125</v>
      </c>
    </row>
    <row r="46" spans="1:6" x14ac:dyDescent="0.3">
      <c r="A46">
        <v>0.54926013946533203</v>
      </c>
      <c r="B46">
        <v>-305.4141845703125</v>
      </c>
      <c r="C46">
        <v>-0.349884033203125</v>
      </c>
      <c r="D46">
        <v>-736.479736328125</v>
      </c>
    </row>
    <row r="47" spans="1:6" x14ac:dyDescent="0.3">
      <c r="A47">
        <v>0.49933815002441406</v>
      </c>
      <c r="B47">
        <v>-325.918212890625</v>
      </c>
      <c r="C47">
        <v>-0.41988468170166016</v>
      </c>
      <c r="D47">
        <v>-773.67303466796875</v>
      </c>
    </row>
    <row r="48" spans="1:6" x14ac:dyDescent="0.3">
      <c r="A48">
        <v>0.44933795928955078</v>
      </c>
      <c r="B48">
        <v>-339.7464599609375</v>
      </c>
      <c r="C48">
        <v>-0.48988437652587891</v>
      </c>
      <c r="D48">
        <v>-803.2369384765625</v>
      </c>
    </row>
    <row r="49" spans="1:4" x14ac:dyDescent="0.3">
      <c r="A49">
        <v>0.3993377685546875</v>
      </c>
      <c r="B49">
        <v>-347.85272216796875</v>
      </c>
      <c r="C49">
        <v>-0.55996322631835938</v>
      </c>
      <c r="D49">
        <v>-828.032470703125</v>
      </c>
    </row>
    <row r="50" spans="1:4" x14ac:dyDescent="0.3">
      <c r="A50">
        <v>0.34941577911376953</v>
      </c>
      <c r="B50">
        <v>-349.76007080078125</v>
      </c>
      <c r="C50">
        <v>-0.62996292114257813</v>
      </c>
      <c r="D50">
        <v>-849.96697998046875</v>
      </c>
    </row>
    <row r="51" spans="1:4" x14ac:dyDescent="0.3">
      <c r="A51">
        <v>0.29941558837890625</v>
      </c>
      <c r="B51">
        <v>-349.283203125</v>
      </c>
    </row>
    <row r="52" spans="1:4" x14ac:dyDescent="0.3">
      <c r="A52">
        <v>0.24941539764404297</v>
      </c>
      <c r="B52">
        <v>-346.42218017578125</v>
      </c>
    </row>
    <row r="53" spans="1:4" x14ac:dyDescent="0.3">
      <c r="A53">
        <v>0.199493408203125</v>
      </c>
      <c r="B53">
        <v>-347.85272216796875</v>
      </c>
    </row>
    <row r="54" spans="1:4" x14ac:dyDescent="0.3">
      <c r="A54">
        <v>0.14949321746826172</v>
      </c>
      <c r="B54">
        <v>-367.40301513671875</v>
      </c>
    </row>
    <row r="55" spans="1:4" x14ac:dyDescent="0.3">
      <c r="A55">
        <v>9.9493026733398438E-2</v>
      </c>
      <c r="B55">
        <v>-450.3726806640625</v>
      </c>
    </row>
    <row r="56" spans="1:4" x14ac:dyDescent="0.3">
      <c r="A56">
        <v>4.9570083618164063E-2</v>
      </c>
      <c r="B56">
        <v>-570.53564453125</v>
      </c>
    </row>
    <row r="57" spans="1:4" x14ac:dyDescent="0.3">
      <c r="A57">
        <v>-4.3010711669921875E-4</v>
      </c>
      <c r="B57">
        <v>-602.9605712890625</v>
      </c>
    </row>
    <row r="58" spans="1:4" x14ac:dyDescent="0.3">
      <c r="A58">
        <v>-5.04302978515625E-2</v>
      </c>
      <c r="B58">
        <v>-577.21136474609375</v>
      </c>
    </row>
    <row r="59" spans="1:4" x14ac:dyDescent="0.3">
      <c r="A59">
        <v>-0.10035228729248047</v>
      </c>
      <c r="B59">
        <v>-555.27685546875</v>
      </c>
    </row>
    <row r="60" spans="1:4" x14ac:dyDescent="0.3">
      <c r="A60">
        <v>-0.15035247802734375</v>
      </c>
      <c r="B60">
        <v>-548.12432861328125</v>
      </c>
    </row>
    <row r="61" spans="1:4" x14ac:dyDescent="0.3">
      <c r="A61">
        <v>-0.20027446746826172</v>
      </c>
      <c r="B61">
        <v>-552.8927001953125</v>
      </c>
    </row>
    <row r="62" spans="1:4" x14ac:dyDescent="0.3">
      <c r="A62">
        <v>-0.250274658203125</v>
      </c>
      <c r="B62">
        <v>-568.1514892578125</v>
      </c>
    </row>
    <row r="63" spans="1:4" x14ac:dyDescent="0.3">
      <c r="A63">
        <v>-0.30027484893798828</v>
      </c>
      <c r="B63">
        <v>-588.17864990234375</v>
      </c>
    </row>
    <row r="64" spans="1:4" x14ac:dyDescent="0.3">
      <c r="A64">
        <v>-0.35019683837890625</v>
      </c>
      <c r="B64">
        <v>-611.54364013671875</v>
      </c>
    </row>
    <row r="65" spans="1:2" x14ac:dyDescent="0.3">
      <c r="A65">
        <v>-0.40019702911376953</v>
      </c>
      <c r="B65">
        <v>-633.006103515625</v>
      </c>
    </row>
    <row r="66" spans="1:2" x14ac:dyDescent="0.3">
      <c r="A66">
        <v>-0.45019721984863281</v>
      </c>
      <c r="B66">
        <v>-649.21856689453125</v>
      </c>
    </row>
    <row r="67" spans="1:2" x14ac:dyDescent="0.3">
      <c r="A67">
        <v>-0.50011920928955078</v>
      </c>
      <c r="B67">
        <v>-664.00048828125</v>
      </c>
    </row>
    <row r="68" spans="1:2" x14ac:dyDescent="0.3">
      <c r="A68">
        <v>-0.55011940002441406</v>
      </c>
      <c r="B68">
        <v>-675.444580078125</v>
      </c>
    </row>
    <row r="69" spans="1:2" x14ac:dyDescent="0.3">
      <c r="A69">
        <v>-0.60011959075927734</v>
      </c>
      <c r="B69">
        <v>-686.888671875</v>
      </c>
    </row>
    <row r="70" spans="1:2" x14ac:dyDescent="0.3">
      <c r="A70">
        <v>-0.65004158020019531</v>
      </c>
      <c r="B70">
        <v>-698.80963134765625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zewail</dc:creator>
  <cp:lastModifiedBy>saif zewail</cp:lastModifiedBy>
  <dcterms:created xsi:type="dcterms:W3CDTF">2025-11-25T18:25:31Z</dcterms:created>
  <dcterms:modified xsi:type="dcterms:W3CDTF">2025-11-25T18:57:24Z</dcterms:modified>
</cp:coreProperties>
</file>